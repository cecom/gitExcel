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6A861AD3-77B7-40C0-90D1-9F08806C9589}"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<sst xmlns="http://schemas.openxmlformats.org/spreadsheetml/2006/main" count="18" uniqueCount="18">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</sst>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xf numFmtId="0" fontId="11" fillId="6" borderId="6" xfId="6" applyFont="1" applyFill="1" applyBorder="1" applyAlignment="1">
      <alignment horizontal="right" vertical="center" indent="1"/>
    </xf>
    <xf numFmtId="0" fontId="11" fillId="6" borderId="0" xfId="6" applyFont="1" applyFill="1" applyBorder="1" applyAlignment="1">
      <alignment horizontal="right" vertical="center" indent="1"/>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1209675</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E6" sqref="E6"/>
    </sheetView>
  </sheetViews>
  <sheetFormatPr baseColWidth="10" defaultColWidth="8.88671875" defaultRowHeight="13.5"/>
  <cols>
    <col min="1" max="1" width="2.77734375" customWidth="1"/>
    <col min="2" max="2" width="7.5546875" style="1" customWidth="1"/>
    <col min="3" max="8" width="15.6640625" style="1" customWidth="1"/>
    <col min="9" max="9" width="2.77734375" customWidth="1"/>
  </cols>
  <sheetData>
    <row r="1" spans="1:8" ht="60.75" customHeight="1">
      <c r="A1" s="15"/>
      <c r="B1" s="17" t="s">
        <v>0</v>
      </c>
      <c r="C1" s="17"/>
      <c r="D1" s="17"/>
      <c r="E1" s="17"/>
      <c r="F1" s="17"/>
      <c r="G1" s="17"/>
      <c r="H1" s="17"/>
    </row>
    <row r="2" spans="1:8" ht="9.75" customHeight="1">
      <c r="B2" s="2"/>
      <c r="C2" s="2"/>
      <c r="D2" s="2"/>
      <c r="E2" s="2"/>
      <c r="F2" s="2"/>
      <c r="G2" s="2"/>
      <c r="H2" s="2"/>
    </row>
    <row r="3" spans="1:8" ht="20.100000000000001" customHeight="1" thickBot="1">
      <c r="B3" s="16" t="s">
        <v>1</v>
      </c>
      <c r="C3" s="16"/>
      <c r="D3" s="16"/>
      <c r="E3"/>
      <c r="F3" s="16" t="s">
        <v>10</v>
      </c>
      <c r="G3" s="16"/>
      <c r="H3" s="16"/>
    </row>
    <row r="4" spans="1:8" ht="20.100000000000001" customHeight="1" thickTop="1">
      <c r="B4" s="18" t="s">
        <v>2</v>
      </c>
      <c r="C4" s="18"/>
      <c r="D4" s="3">
        <v>18000</v>
      </c>
      <c r="E4"/>
      <c r="F4" s="18" t="s">
        <v>11</v>
      </c>
      <c r="G4" s="18"/>
      <c r="H4" s="12">
        <f ca="1">IFERROR(IF(DarlehenIstGut,MonatlicheZahlung,""), "")</f>
        <v>195.34730032886532</v>
      </c>
    </row>
    <row r="5" spans="1:8" ht="20.100000000000001" customHeight="1">
      <c r="B5" s="19" t="s">
        <v>3</v>
      </c>
      <c r="C5" s="19"/>
      <c r="D5" s="4">
        <v>5.5E-2</v>
      </c>
      <c r="E5"/>
      <c r="F5" s="19" t="s">
        <v>12</v>
      </c>
      <c r="G5" s="19"/>
      <c r="H5" s="13">
        <f ca="1">IFERROR(IF(DarlehenIstGut,DarlehensJahre*12,""), "")</f>
        <v>120</v>
      </c>
    </row>
    <row r="6" spans="1:8" ht="20.100000000000001" customHeight="1">
      <c r="B6" s="19" t="s">
        <v>4</v>
      </c>
      <c r="C6" s="19"/>
      <c r="D6" s="5">
        <v>10</v>
      </c>
      <c r="E6"/>
      <c r="F6" s="19" t="s">
        <v>13</v>
      </c>
      <c r="G6" s="19"/>
      <c r="H6" s="14">
        <f ca="1">IFERROR(IF(DarlehenIstGut,DarlehensKostenGesamt-DarlehensBetrag,""), "")</f>
        <v>5441.6760394638368</v>
      </c>
    </row>
    <row r="7" spans="1:8" ht="20.100000000000001" customHeight="1">
      <c r="B7" s="19" t="s">
        <v>5</v>
      </c>
      <c r="C7" s="19"/>
      <c r="D7" s="6">
        <f ca="1">TODAY()</f>
        <v>44151</v>
      </c>
      <c r="E7"/>
      <c r="F7" s="19" t="s">
        <v>14</v>
      </c>
      <c r="G7" s="19"/>
      <c r="H7" s="14">
        <f ca="1">IFERROR(IF(DarlehenIstGut,MonatlicheZahlung*AnzahlZahlungen,""), "")</f>
        <v>23441.676039463837</v>
      </c>
    </row>
    <row r="8" spans="1:8" ht="15" customHeight="1">
      <c r="B8"/>
      <c r="C8"/>
      <c r="D8"/>
      <c r="E8"/>
      <c r="F8"/>
      <c r="G8"/>
      <c r="H8"/>
    </row>
    <row r="9" spans="1:8" ht="29.25" customHeight="1">
      <c r="B9" s="7" t="s">
        <v>6</v>
      </c>
      <c r="C9" s="7" t="s">
        <v>7</v>
      </c>
      <c r="D9" s="8" t="s">
        <v>8</v>
      </c>
      <c r="E9" s="8" t="s">
        <v>9</v>
      </c>
      <c r="F9" s="8" t="s">
        <v>15</v>
      </c>
      <c r="G9" s="8" t="s">
        <v>16</v>
      </c>
      <c r="H9" s="8" t="s">
        <v>17</v>
      </c>
    </row>
    <row r="10" spans="1:8" ht="20.100000000000001" customHeight="1">
      <c r="B10" s="9">
        <f ca="1">IFERROR(IF(DarlehenNichtBezahlt*DarlehenIstGut,ZahlungNummer,""), "")</f>
        <v>1</v>
      </c>
      <c r="C10" s="10">
        <f ca="1">IFERROR(IF(DarlehenNichtBezahlt*DarlehenIstGut,ZahlungsDatum,""), "")</f>
        <v>44181</v>
      </c>
      <c r="D10" s="11">
        <f ca="1">IFERROR(IF(DarlehenNichtBezahlt*DarlehenIstGut,DarlehensWert,""), "")</f>
        <v>18000</v>
      </c>
      <c r="E10" s="11">
        <f ca="1">IFERROR(IF(DarlehenNichtBezahlt*DarlehenIstGut,MonatlicheZahlung,""), "")</f>
        <v>195.34730032886532</v>
      </c>
      <c r="F10" s="11">
        <f ca="1">IFERROR(IF(DarlehenNichtBezahlt*DarlehenIstGut,Kapital,""), "")</f>
        <v>112.84730032886533</v>
      </c>
      <c r="G10" s="11">
        <f ca="1">IFERROR(IF(DarlehenNichtBezahlt*DarlehenIstGut,ZinsBetrag,""), "")</f>
        <v>82.5</v>
      </c>
      <c r="H10" s="11">
        <f ca="1">IFERROR(IF(DarlehenNichtBezahlt*DarlehenIstGut,AbschlussSaldo,""), "")</f>
        <v>17887.152699671133</v>
      </c>
    </row>
    <row r="11" spans="1:8" ht="20.100000000000001" customHeight="1">
      <c r="B11" s="9">
        <f ca="1">IFERROR(IF(DarlehenNichtBezahlt*DarlehenIstGut,ZahlungNummer,""), "")</f>
        <v>2</v>
      </c>
      <c r="C11" s="10">
        <f ca="1">IFERROR(IF(DarlehenNichtBezahlt*DarlehenIstGut,ZahlungsDatum,""), "")</f>
        <v>44212</v>
      </c>
      <c r="D11" s="11">
        <f ca="1">IFERROR(IF(DarlehenNichtBezahlt*DarlehenIstGut,DarlehensWert,""), "")</f>
        <v>17887.152699671133</v>
      </c>
      <c r="E11" s="11">
        <f ca="1">IFERROR(IF(DarlehenNichtBezahlt*DarlehenIstGut,MonatlicheZahlung,""), "")</f>
        <v>195.34730032886532</v>
      </c>
      <c r="F11" s="11">
        <f ca="1">IFERROR(IF(DarlehenNichtBezahlt*DarlehenIstGut,Kapital,""), "")</f>
        <v>113.36451712203929</v>
      </c>
      <c r="G11" s="11">
        <f ca="1">IFERROR(IF(DarlehenNichtBezahlt*DarlehenIstGut,ZinsBetrag,""), "")</f>
        <v>81.982783206826042</v>
      </c>
      <c r="H11" s="11">
        <f ca="1">IFERROR(IF(DarlehenNichtBezahlt*DarlehenIstGut,AbschlussSaldo,""), "")</f>
        <v>17773.788182549091</v>
      </c>
    </row>
    <row r="12" spans="1:8" ht="20.100000000000001" customHeight="1">
      <c r="B12" s="9">
        <f ca="1">IFERROR(IF(DarlehenNichtBezahlt*DarlehenIstGut,ZahlungNummer,""), "")</f>
        <v>3</v>
      </c>
      <c r="C12" s="10">
        <f ca="1">IFERROR(IF(DarlehenNichtBezahlt*DarlehenIstGut,ZahlungsDatum,""), "")</f>
        <v>44243</v>
      </c>
      <c r="D12" s="11">
        <f ca="1">IFERROR(IF(DarlehenNichtBezahlt*DarlehenIstGut,DarlehensWert,""), "")</f>
        <v>17773.788182549091</v>
      </c>
      <c r="E12" s="11">
        <f ca="1">IFERROR(IF(DarlehenNichtBezahlt*DarlehenIstGut,MonatlicheZahlung,""), "")</f>
        <v>195.34730032886532</v>
      </c>
      <c r="F12" s="11">
        <f ca="1">IFERROR(IF(DarlehenNichtBezahlt*DarlehenIstGut,Kapital,""), "")</f>
        <v>113.88410449218198</v>
      </c>
      <c r="G12" s="11">
        <f ca="1">IFERROR(IF(DarlehenNichtBezahlt*DarlehenIstGut,ZinsBetrag,""), "")</f>
        <v>81.463195836683369</v>
      </c>
      <c r="H12" s="11">
        <f ca="1">IFERROR(IF(DarlehenNichtBezahlt*DarlehenIstGut,AbschlussSaldo,""), "")</f>
        <v>17659.904078056912</v>
      </c>
    </row>
    <row r="13" spans="1:8" ht="20.100000000000001" customHeight="1">
      <c r="B13" s="9">
        <f ca="1">IFERROR(IF(DarlehenNichtBezahlt*DarlehenIstGut,ZahlungNummer,""), "")</f>
        <v>4</v>
      </c>
      <c r="C13" s="10">
        <f ca="1">IFERROR(IF(DarlehenNichtBezahlt*DarlehenIstGut,ZahlungsDatum,""), "")</f>
        <v>44271</v>
      </c>
      <c r="D13" s="11">
        <f ca="1">IFERROR(IF(DarlehenNichtBezahlt*DarlehenIstGut,DarlehensWert,""), "")</f>
        <v>17659.904078056912</v>
      </c>
      <c r="E13" s="11">
        <f ca="1">IFERROR(IF(DarlehenNichtBezahlt*DarlehenIstGut,MonatlicheZahlung,""), "")</f>
        <v>195.34730032886532</v>
      </c>
      <c r="F13" s="11">
        <f ca="1">IFERROR(IF(DarlehenNichtBezahlt*DarlehenIstGut,Kapital,""), "")</f>
        <v>114.40607330443781</v>
      </c>
      <c r="G13" s="11">
        <f ca="1">IFERROR(IF(DarlehenNichtBezahlt*DarlehenIstGut,ZinsBetrag,""), "")</f>
        <v>80.941227024427519</v>
      </c>
      <c r="H13" s="11">
        <f ca="1">IFERROR(IF(DarlehenNichtBezahlt*DarlehenIstGut,AbschlussSaldo,""), "")</f>
        <v>17545.498004752473</v>
      </c>
    </row>
    <row r="14" spans="1:8" ht="20.100000000000001" customHeight="1">
      <c r="B14" s="9">
        <f ca="1">IFERROR(IF(DarlehenNichtBezahlt*DarlehenIstGut,ZahlungNummer,""), "")</f>
        <v>5</v>
      </c>
      <c r="C14" s="10">
        <f ca="1">IFERROR(IF(DarlehenNichtBezahlt*DarlehenIstGut,ZahlungsDatum,""), "")</f>
        <v>44302</v>
      </c>
      <c r="D14" s="11">
        <f ca="1">IFERROR(IF(DarlehenNichtBezahlt*DarlehenIstGut,DarlehensWert,""), "")</f>
        <v>17545.498004752473</v>
      </c>
      <c r="E14" s="11">
        <f ca="1">IFERROR(IF(DarlehenNichtBezahlt*DarlehenIstGut,MonatlicheZahlung,""), "")</f>
        <v>195.34730032886532</v>
      </c>
      <c r="F14" s="11">
        <f ca="1">IFERROR(IF(DarlehenNichtBezahlt*DarlehenIstGut,Kapital,""), "")</f>
        <v>114.93043447374983</v>
      </c>
      <c r="G14" s="11">
        <f ca="1">IFERROR(IF(DarlehenNichtBezahlt*DarlehenIstGut,ZinsBetrag,""), "")</f>
        <v>80.416865855115503</v>
      </c>
      <c r="H14" s="11">
        <f ca="1">IFERROR(IF(DarlehenNichtBezahlt*DarlehenIstGut,AbschlussSaldo,""), "")</f>
        <v>17430.567570278723</v>
      </c>
    </row>
    <row r="15" spans="1:8" ht="20.100000000000001" customHeight="1">
      <c r="B15" s="9">
        <f ca="1">IFERROR(IF(DarlehenNichtBezahlt*DarlehenIstGut,ZahlungNummer,""), "")</f>
        <v>6</v>
      </c>
      <c r="C15" s="10">
        <f ca="1">IFERROR(IF(DarlehenNichtBezahlt*DarlehenIstGut,ZahlungsDatum,""), "")</f>
        <v>44332</v>
      </c>
      <c r="D15" s="11">
        <f ca="1">IFERROR(IF(DarlehenNichtBezahlt*DarlehenIstGut,DarlehensWert,""), "")</f>
        <v>17430.567570278723</v>
      </c>
      <c r="E15" s="11">
        <f ca="1">IFERROR(IF(DarlehenNichtBezahlt*DarlehenIstGut,MonatlicheZahlung,""), "")</f>
        <v>195.34730032886532</v>
      </c>
      <c r="F15" s="11">
        <f ca="1">IFERROR(IF(DarlehenNichtBezahlt*DarlehenIstGut,Kapital,""), "")</f>
        <v>115.45719896508783</v>
      </c>
      <c r="G15" s="11">
        <f ca="1">IFERROR(IF(DarlehenNichtBezahlt*DarlehenIstGut,ZinsBetrag,""), "")</f>
        <v>79.890101363777504</v>
      </c>
      <c r="H15" s="11">
        <f ca="1">IFERROR(IF(DarlehenNichtBezahlt*DarlehenIstGut,AbschlussSaldo,""), "")</f>
        <v>17315.110371313636</v>
      </c>
    </row>
    <row r="16" spans="1:8" ht="20.100000000000001" customHeight="1">
      <c r="B16" s="9">
        <f ca="1">IFERROR(IF(DarlehenNichtBezahlt*DarlehenIstGut,ZahlungNummer,""), "")</f>
        <v>7</v>
      </c>
      <c r="C16" s="10">
        <f ca="1">IFERROR(IF(DarlehenNichtBezahlt*DarlehenIstGut,ZahlungsDatum,""), "")</f>
        <v>44363</v>
      </c>
      <c r="D16" s="11">
        <f ca="1">IFERROR(IF(DarlehenNichtBezahlt*DarlehenIstGut,DarlehensWert,""), "")</f>
        <v>17315.110371313636</v>
      </c>
      <c r="E16" s="11">
        <f ca="1">IFERROR(IF(DarlehenNichtBezahlt*DarlehenIstGut,MonatlicheZahlung,""), "")</f>
        <v>195.34730032886532</v>
      </c>
      <c r="F16" s="11">
        <f ca="1">IFERROR(IF(DarlehenNichtBezahlt*DarlehenIstGut,Kapital,""), "")</f>
        <v>115.98637779367783</v>
      </c>
      <c r="G16" s="11">
        <f ca="1">IFERROR(IF(DarlehenNichtBezahlt*DarlehenIstGut,ZinsBetrag,""), "")</f>
        <v>79.360922535187498</v>
      </c>
      <c r="H16" s="11">
        <f ca="1">IFERROR(IF(DarlehenNichtBezahlt*DarlehenIstGut,AbschlussSaldo,""), "")</f>
        <v>17199.123993519959</v>
      </c>
    </row>
    <row r="17" spans="2:8" ht="20.100000000000001" customHeight="1">
      <c r="B17" s="9">
        <f ca="1">IFERROR(IF(DarlehenNichtBezahlt*DarlehenIstGut,ZahlungNummer,""), "")</f>
        <v>8</v>
      </c>
      <c r="C17" s="10">
        <f ca="1">IFERROR(IF(DarlehenNichtBezahlt*DarlehenIstGut,ZahlungsDatum,""), "")</f>
        <v>44393</v>
      </c>
      <c r="D17" s="11">
        <f ca="1">IFERROR(IF(DarlehenNichtBezahlt*DarlehenIstGut,DarlehensWert,""), "")</f>
        <v>17199.123993519959</v>
      </c>
      <c r="E17" s="11">
        <f ca="1">IFERROR(IF(DarlehenNichtBezahlt*DarlehenIstGut,MonatlicheZahlung,""), "")</f>
        <v>195.34730032886532</v>
      </c>
      <c r="F17" s="11">
        <f ca="1">IFERROR(IF(DarlehenNichtBezahlt*DarlehenIstGut,Kapital,""), "")</f>
        <v>116.51798202523219</v>
      </c>
      <c r="G17" s="11">
        <f ca="1">IFERROR(IF(DarlehenNichtBezahlt*DarlehenIstGut,ZinsBetrag,""), "")</f>
        <v>78.829318303633144</v>
      </c>
      <c r="H17" s="11">
        <f ca="1">IFERROR(IF(DarlehenNichtBezahlt*DarlehenIstGut,AbschlussSaldo,""), "")</f>
        <v>17082.606011494725</v>
      </c>
    </row>
    <row r="18" spans="2:8" ht="20.100000000000001" customHeight="1">
      <c r="B18" s="9">
        <f ca="1">IFERROR(IF(DarlehenNichtBezahlt*DarlehenIstGut,ZahlungNummer,""), "")</f>
        <v>9</v>
      </c>
      <c r="C18" s="10">
        <f ca="1">IFERROR(IF(DarlehenNichtBezahlt*DarlehenIstGut,ZahlungsDatum,""), "")</f>
        <v>44424</v>
      </c>
      <c r="D18" s="11">
        <f ca="1">IFERROR(IF(DarlehenNichtBezahlt*DarlehenIstGut,DarlehensWert,""), "")</f>
        <v>17082.606011494725</v>
      </c>
      <c r="E18" s="11">
        <f ca="1">IFERROR(IF(DarlehenNichtBezahlt*DarlehenIstGut,MonatlicheZahlung,""), "")</f>
        <v>195.34730032886532</v>
      </c>
      <c r="F18" s="11">
        <f ca="1">IFERROR(IF(DarlehenNichtBezahlt*DarlehenIstGut,Kapital,""), "")</f>
        <v>117.05202277618118</v>
      </c>
      <c r="G18" s="11">
        <f ca="1">IFERROR(IF(DarlehenNichtBezahlt*DarlehenIstGut,ZinsBetrag,""), "")</f>
        <v>78.295277552684169</v>
      </c>
      <c r="H18" s="11">
        <f ca="1">IFERROR(IF(DarlehenNichtBezahlt*DarlehenIstGut,AbschlussSaldo,""), "")</f>
        <v>16965.553988718544</v>
      </c>
    </row>
    <row r="19" spans="2:8" ht="20.100000000000001" customHeight="1">
      <c r="B19" s="9">
        <f ca="1">IFERROR(IF(DarlehenNichtBezahlt*DarlehenIstGut,ZahlungNummer,""), "")</f>
        <v>10</v>
      </c>
      <c r="C19" s="10">
        <f ca="1">IFERROR(IF(DarlehenNichtBezahlt*DarlehenIstGut,ZahlungsDatum,""), "")</f>
        <v>44455</v>
      </c>
      <c r="D19" s="11">
        <f ca="1">IFERROR(IF(DarlehenNichtBezahlt*DarlehenIstGut,DarlehensWert,""), "")</f>
        <v>16965.553988718544</v>
      </c>
      <c r="E19" s="11">
        <f ca="1">IFERROR(IF(DarlehenNichtBezahlt*DarlehenIstGut,MonatlicheZahlung,""), "")</f>
        <v>195.34730032886532</v>
      </c>
      <c r="F19" s="11">
        <f ca="1">IFERROR(IF(DarlehenNichtBezahlt*DarlehenIstGut,Kapital,""), "")</f>
        <v>117.58851121390532</v>
      </c>
      <c r="G19" s="11">
        <f ca="1">IFERROR(IF(DarlehenNichtBezahlt*DarlehenIstGut,ZinsBetrag,""), "")</f>
        <v>77.75878911496001</v>
      </c>
      <c r="H19" s="11">
        <f ca="1">IFERROR(IF(DarlehenNichtBezahlt*DarlehenIstGut,AbschlussSaldo,""), "")</f>
        <v>16847.96547750464</v>
      </c>
    </row>
    <row r="20" spans="2:8" ht="20.100000000000001" customHeight="1">
      <c r="B20" s="9">
        <f ca="1">IFERROR(IF(DarlehenNichtBezahlt*DarlehenIstGut,ZahlungNummer,""), "")</f>
        <v>11</v>
      </c>
      <c r="C20" s="10">
        <f ca="1">IFERROR(IF(DarlehenNichtBezahlt*DarlehenIstGut,ZahlungsDatum,""), "")</f>
        <v>44485</v>
      </c>
      <c r="D20" s="11">
        <f ca="1">IFERROR(IF(DarlehenNichtBezahlt*DarlehenIstGut,DarlehensWert,""), "")</f>
        <v>16847.96547750464</v>
      </c>
      <c r="E20" s="11">
        <f ca="1">IFERROR(IF(DarlehenNichtBezahlt*DarlehenIstGut,MonatlicheZahlung,""), "")</f>
        <v>195.34730032886532</v>
      </c>
      <c r="F20" s="11">
        <f ca="1">IFERROR(IF(DarlehenNichtBezahlt*DarlehenIstGut,Kapital,""), "")</f>
        <v>118.12745855696906</v>
      </c>
      <c r="G20" s="11">
        <f ca="1">IFERROR(IF(DarlehenNichtBezahlt*DarlehenIstGut,ZinsBetrag,""), "")</f>
        <v>77.21984177189627</v>
      </c>
      <c r="H20" s="11">
        <f ca="1">IFERROR(IF(DarlehenNichtBezahlt*DarlehenIstGut,AbschlussSaldo,""), "")</f>
        <v>16729.838018947667</v>
      </c>
    </row>
    <row r="21" spans="2:8" ht="20.100000000000001" customHeight="1">
      <c r="B21" s="9">
        <f ca="1">IFERROR(IF(DarlehenNichtBezahlt*DarlehenIstGut,ZahlungNummer,""), "")</f>
        <v>12</v>
      </c>
      <c r="C21" s="10">
        <f ca="1">IFERROR(IF(DarlehenNichtBezahlt*DarlehenIstGut,ZahlungsDatum,""), "")</f>
        <v>44516</v>
      </c>
      <c r="D21" s="11">
        <f ca="1">IFERROR(IF(DarlehenNichtBezahlt*DarlehenIstGut,DarlehensWert,""), "")</f>
        <v>16729.838018947667</v>
      </c>
      <c r="E21" s="11">
        <f ca="1">IFERROR(IF(DarlehenNichtBezahlt*DarlehenIstGut,MonatlicheZahlung,""), "")</f>
        <v>195.34730032886532</v>
      </c>
      <c r="F21" s="11">
        <f ca="1">IFERROR(IF(DarlehenNichtBezahlt*DarlehenIstGut,Kapital,""), "")</f>
        <v>118.66887607535517</v>
      </c>
      <c r="G21" s="11">
        <f ca="1">IFERROR(IF(DarlehenNichtBezahlt*DarlehenIstGut,ZinsBetrag,""), "")</f>
        <v>76.678424253510158</v>
      </c>
      <c r="H21" s="11">
        <f ca="1">IFERROR(IF(DarlehenNichtBezahlt*DarlehenIstGut,AbschlussSaldo,""), "")</f>
        <v>16611.169142872317</v>
      </c>
    </row>
    <row r="22" spans="2:8" ht="20.100000000000001" customHeight="1">
      <c r="B22" s="9">
        <f ca="1">IFERROR(IF(DarlehenNichtBezahlt*DarlehenIstGut,ZahlungNummer,""), "")</f>
        <v>13</v>
      </c>
      <c r="C22" s="10">
        <f ca="1">IFERROR(IF(DarlehenNichtBezahlt*DarlehenIstGut,ZahlungsDatum,""), "")</f>
        <v>44546</v>
      </c>
      <c r="D22" s="11">
        <f ca="1">IFERROR(IF(DarlehenNichtBezahlt*DarlehenIstGut,DarlehensWert,""), "")</f>
        <v>16611.169142872317</v>
      </c>
      <c r="E22" s="11">
        <f ca="1">IFERROR(IF(DarlehenNichtBezahlt*DarlehenIstGut,MonatlicheZahlung,""), "")</f>
        <v>195.34730032886532</v>
      </c>
      <c r="F22" s="11">
        <f ca="1">IFERROR(IF(DarlehenNichtBezahlt*DarlehenIstGut,Kapital,""), "")</f>
        <v>119.21277509070055</v>
      </c>
      <c r="G22" s="11">
        <f ca="1">IFERROR(IF(DarlehenNichtBezahlt*DarlehenIstGut,ZinsBetrag,""), "")</f>
        <v>76.134525238164784</v>
      </c>
      <c r="H22" s="11">
        <f ca="1">IFERROR(IF(DarlehenNichtBezahlt*DarlehenIstGut,AbschlussSaldo,""), "")</f>
        <v>16491.956367781615</v>
      </c>
    </row>
    <row r="23" spans="2:8" ht="20.100000000000001" customHeight="1">
      <c r="B23" s="9">
        <f ca="1">IFERROR(IF(DarlehenNichtBezahlt*DarlehenIstGut,ZahlungNummer,""), "")</f>
        <v>14</v>
      </c>
      <c r="C23" s="10">
        <f ca="1">IFERROR(IF(DarlehenNichtBezahlt*DarlehenIstGut,ZahlungsDatum,""), "")</f>
        <v>44577</v>
      </c>
      <c r="D23" s="11">
        <f ca="1">IFERROR(IF(DarlehenNichtBezahlt*DarlehenIstGut,DarlehensWert,""), "")</f>
        <v>16491.956367781615</v>
      </c>
      <c r="E23" s="11">
        <f ca="1">IFERROR(IF(DarlehenNichtBezahlt*DarlehenIstGut,MonatlicheZahlung,""), "")</f>
        <v>195.34730032886532</v>
      </c>
      <c r="F23" s="11">
        <f ca="1">IFERROR(IF(DarlehenNichtBezahlt*DarlehenIstGut,Kapital,""), "")</f>
        <v>119.75916697653292</v>
      </c>
      <c r="G23" s="11">
        <f ca="1">IFERROR(IF(DarlehenNichtBezahlt*DarlehenIstGut,ZinsBetrag,""), "")</f>
        <v>75.588133352332406</v>
      </c>
      <c r="H23" s="11">
        <f ca="1">IFERROR(IF(DarlehenNichtBezahlt*DarlehenIstGut,AbschlussSaldo,""), "")</f>
        <v>16372.19720080508</v>
      </c>
    </row>
    <row r="24" spans="2:8" ht="20.100000000000001" customHeight="1">
      <c r="B24" s="9">
        <f ca="1">IFERROR(IF(DarlehenNichtBezahlt*DarlehenIstGut,ZahlungNummer,""), "")</f>
        <v>15</v>
      </c>
      <c r="C24" s="10">
        <f ca="1">IFERROR(IF(DarlehenNichtBezahlt*DarlehenIstGut,ZahlungsDatum,""), "")</f>
        <v>44608</v>
      </c>
      <c r="D24" s="11">
        <f ca="1">IFERROR(IF(DarlehenNichtBezahlt*DarlehenIstGut,DarlehensWert,""), "")</f>
        <v>16372.19720080508</v>
      </c>
      <c r="E24" s="11">
        <f ca="1">IFERROR(IF(DarlehenNichtBezahlt*DarlehenIstGut,MonatlicheZahlung,""), "")</f>
        <v>195.34730032886532</v>
      </c>
      <c r="F24" s="11">
        <f ca="1">IFERROR(IF(DarlehenNichtBezahlt*DarlehenIstGut,Kapital,""), "")</f>
        <v>120.3080631585087</v>
      </c>
      <c r="G24" s="11">
        <f ca="1">IFERROR(IF(DarlehenNichtBezahlt*DarlehenIstGut,ZinsBetrag,""), "")</f>
        <v>75.039237170356628</v>
      </c>
      <c r="H24" s="11">
        <f ca="1">IFERROR(IF(DarlehenNichtBezahlt*DarlehenIstGut,AbschlussSaldo,""), "")</f>
        <v>16251.889137646576</v>
      </c>
    </row>
    <row r="25" spans="2:8" ht="20.100000000000001" customHeight="1">
      <c r="B25" s="9">
        <f ca="1">IFERROR(IF(DarlehenNichtBezahlt*DarlehenIstGut,ZahlungNummer,""), "")</f>
        <v>16</v>
      </c>
      <c r="C25" s="10">
        <f ca="1">IFERROR(IF(DarlehenNichtBezahlt*DarlehenIstGut,ZahlungsDatum,""), "")</f>
        <v>44636</v>
      </c>
      <c r="D25" s="11">
        <f ca="1">IFERROR(IF(DarlehenNichtBezahlt*DarlehenIstGut,DarlehensWert,""), "")</f>
        <v>16251.889137646576</v>
      </c>
      <c r="E25" s="11">
        <f ca="1">IFERROR(IF(DarlehenNichtBezahlt*DarlehenIstGut,MonatlicheZahlung,""), "")</f>
        <v>195.34730032886532</v>
      </c>
      <c r="F25" s="11">
        <f ca="1">IFERROR(IF(DarlehenNichtBezahlt*DarlehenIstGut,Kapital,""), "")</f>
        <v>120.85947511465186</v>
      </c>
      <c r="G25" s="11">
        <f ca="1">IFERROR(IF(DarlehenNichtBezahlt*DarlehenIstGut,ZinsBetrag,""), "")</f>
        <v>74.487825214213473</v>
      </c>
      <c r="H25" s="11">
        <f ca="1">IFERROR(IF(DarlehenNichtBezahlt*DarlehenIstGut,AbschlussSaldo,""), "")</f>
        <v>16131.029662531919</v>
      </c>
    </row>
    <row r="26" spans="2:8" ht="20.100000000000001" customHeight="1">
      <c r="B26" s="9">
        <f ca="1">IFERROR(IF(DarlehenNichtBezahlt*DarlehenIstGut,ZahlungNummer,""), "")</f>
        <v>17</v>
      </c>
      <c r="C26" s="10">
        <f ca="1">IFERROR(IF(DarlehenNichtBezahlt*DarlehenIstGut,ZahlungsDatum,""), "")</f>
        <v>44667</v>
      </c>
      <c r="D26" s="11">
        <f ca="1">IFERROR(IF(DarlehenNichtBezahlt*DarlehenIstGut,DarlehensWert,""), "")</f>
        <v>16131.029662531919</v>
      </c>
      <c r="E26" s="11">
        <f ca="1">IFERROR(IF(DarlehenNichtBezahlt*DarlehenIstGut,MonatlicheZahlung,""), "")</f>
        <v>195.34730032886532</v>
      </c>
      <c r="F26" s="11">
        <f ca="1">IFERROR(IF(DarlehenNichtBezahlt*DarlehenIstGut,Kapital,""), "")</f>
        <v>121.41341437559403</v>
      </c>
      <c r="G26" s="11">
        <f ca="1">IFERROR(IF(DarlehenNichtBezahlt*DarlehenIstGut,ZinsBetrag,""), "")</f>
        <v>73.933885953271314</v>
      </c>
      <c r="H26" s="11">
        <f ca="1">IFERROR(IF(DarlehenNichtBezahlt*DarlehenIstGut,AbschlussSaldo,""), "")</f>
        <v>16009.616248156322</v>
      </c>
    </row>
    <row r="27" spans="2:8" ht="20.100000000000001" customHeight="1">
      <c r="B27" s="9">
        <f ca="1">IFERROR(IF(DarlehenNichtBezahlt*DarlehenIstGut,ZahlungNummer,""), "")</f>
        <v>18</v>
      </c>
      <c r="C27" s="10">
        <f ca="1">IFERROR(IF(DarlehenNichtBezahlt*DarlehenIstGut,ZahlungsDatum,""), "")</f>
        <v>44697</v>
      </c>
      <c r="D27" s="11">
        <f ca="1">IFERROR(IF(DarlehenNichtBezahlt*DarlehenIstGut,DarlehensWert,""), "")</f>
        <v>16009.616248156322</v>
      </c>
      <c r="E27" s="11">
        <f ca="1">IFERROR(IF(DarlehenNichtBezahlt*DarlehenIstGut,MonatlicheZahlung,""), "")</f>
        <v>195.34730032886532</v>
      </c>
      <c r="F27" s="11">
        <f ca="1">IFERROR(IF(DarlehenNichtBezahlt*DarlehenIstGut,Kapital,""), "")</f>
        <v>121.96989252481548</v>
      </c>
      <c r="G27" s="11">
        <f ca="1">IFERROR(IF(DarlehenNichtBezahlt*DarlehenIstGut,ZinsBetrag,""), "")</f>
        <v>73.377407804049838</v>
      </c>
      <c r="H27" s="11">
        <f ca="1">IFERROR(IF(DarlehenNichtBezahlt*DarlehenIstGut,AbschlussSaldo,""), "")</f>
        <v>15887.64635563151</v>
      </c>
    </row>
    <row r="28" spans="2:8" ht="20.100000000000001" customHeight="1">
      <c r="B28" s="9">
        <f ca="1">IFERROR(IF(DarlehenNichtBezahlt*DarlehenIstGut,ZahlungNummer,""), "")</f>
        <v>19</v>
      </c>
      <c r="C28" s="10">
        <f ca="1">IFERROR(IF(DarlehenNichtBezahlt*DarlehenIstGut,ZahlungsDatum,""), "")</f>
        <v>44728</v>
      </c>
      <c r="D28" s="11">
        <f ca="1">IFERROR(IF(DarlehenNichtBezahlt*DarlehenIstGut,DarlehensWert,""), "")</f>
        <v>15887.64635563151</v>
      </c>
      <c r="E28" s="11">
        <f ca="1">IFERROR(IF(DarlehenNichtBezahlt*DarlehenIstGut,MonatlicheZahlung,""), "")</f>
        <v>195.34730032886532</v>
      </c>
      <c r="F28" s="11">
        <f ca="1">IFERROR(IF(DarlehenNichtBezahlt*DarlehenIstGut,Kapital,""), "")</f>
        <v>122.52892119888756</v>
      </c>
      <c r="G28" s="11">
        <f ca="1">IFERROR(IF(DarlehenNichtBezahlt*DarlehenIstGut,ZinsBetrag,""), "")</f>
        <v>72.818379129977785</v>
      </c>
      <c r="H28" s="11">
        <f ca="1">IFERROR(IF(DarlehenNichtBezahlt*DarlehenIstGut,AbschlussSaldo,""), "")</f>
        <v>15765.117434432625</v>
      </c>
    </row>
    <row r="29" spans="2:8" ht="20.100000000000001" customHeight="1">
      <c r="B29" s="9">
        <f ca="1">IFERROR(IF(DarlehenNichtBezahlt*DarlehenIstGut,ZahlungNummer,""), "")</f>
        <v>20</v>
      </c>
      <c r="C29" s="10">
        <f ca="1">IFERROR(IF(DarlehenNichtBezahlt*DarlehenIstGut,ZahlungsDatum,""), "")</f>
        <v>44758</v>
      </c>
      <c r="D29" s="11">
        <f ca="1">IFERROR(IF(DarlehenNichtBezahlt*DarlehenIstGut,DarlehensWert,""), "")</f>
        <v>15765.117434432625</v>
      </c>
      <c r="E29" s="11">
        <f ca="1">IFERROR(IF(DarlehenNichtBezahlt*DarlehenIstGut,MonatlicheZahlung,""), "")</f>
        <v>195.34730032886532</v>
      </c>
      <c r="F29" s="11">
        <f ca="1">IFERROR(IF(DarlehenNichtBezahlt*DarlehenIstGut,Kapital,""), "")</f>
        <v>123.09051208771579</v>
      </c>
      <c r="G29" s="11">
        <f ca="1">IFERROR(IF(DarlehenNichtBezahlt*DarlehenIstGut,ZinsBetrag,""), "")</f>
        <v>72.256788241149536</v>
      </c>
      <c r="H29" s="11">
        <f ca="1">IFERROR(IF(DarlehenNichtBezahlt*DarlehenIstGut,AbschlussSaldo,""), "")</f>
        <v>15642.026922344909</v>
      </c>
    </row>
    <row r="30" spans="2:8" ht="20.100000000000001" customHeight="1">
      <c r="B30" s="9">
        <f ca="1">IFERROR(IF(DarlehenNichtBezahlt*DarlehenIstGut,ZahlungNummer,""), "")</f>
        <v>21</v>
      </c>
      <c r="C30" s="10">
        <f ca="1">IFERROR(IF(DarlehenNichtBezahlt*DarlehenIstGut,ZahlungsDatum,""), "")</f>
        <v>44789</v>
      </c>
      <c r="D30" s="11">
        <f ca="1">IFERROR(IF(DarlehenNichtBezahlt*DarlehenIstGut,DarlehensWert,""), "")</f>
        <v>15642.026922344909</v>
      </c>
      <c r="E30" s="11">
        <f ca="1">IFERROR(IF(DarlehenNichtBezahlt*DarlehenIstGut,MonatlicheZahlung,""), "")</f>
        <v>195.34730032886532</v>
      </c>
      <c r="F30" s="11">
        <f ca="1">IFERROR(IF(DarlehenNichtBezahlt*DarlehenIstGut,Kapital,""), "")</f>
        <v>123.65467693478449</v>
      </c>
      <c r="G30" s="11">
        <f ca="1">IFERROR(IF(DarlehenNichtBezahlt*DarlehenIstGut,ZinsBetrag,""), "")</f>
        <v>71.692623394080826</v>
      </c>
      <c r="H30" s="11">
        <f ca="1">IFERROR(IF(DarlehenNichtBezahlt*DarlehenIstGut,AbschlussSaldo,""), "")</f>
        <v>15518.372245410119</v>
      </c>
    </row>
    <row r="31" spans="2:8" ht="20.100000000000001" customHeight="1">
      <c r="B31" s="9">
        <f ca="1">IFERROR(IF(DarlehenNichtBezahlt*DarlehenIstGut,ZahlungNummer,""), "")</f>
        <v>22</v>
      </c>
      <c r="C31" s="10">
        <f ca="1">IFERROR(IF(DarlehenNichtBezahlt*DarlehenIstGut,ZahlungsDatum,""), "")</f>
        <v>44820</v>
      </c>
      <c r="D31" s="11">
        <f ca="1">IFERROR(IF(DarlehenNichtBezahlt*DarlehenIstGut,DarlehensWert,""), "")</f>
        <v>15518.372245410119</v>
      </c>
      <c r="E31" s="11">
        <f ca="1">IFERROR(IF(DarlehenNichtBezahlt*DarlehenIstGut,MonatlicheZahlung,""), "")</f>
        <v>195.34730032886532</v>
      </c>
      <c r="F31" s="11">
        <f ca="1">IFERROR(IF(DarlehenNichtBezahlt*DarlehenIstGut,Kapital,""), "")</f>
        <v>124.22142753740225</v>
      </c>
      <c r="G31" s="11">
        <f ca="1">IFERROR(IF(DarlehenNichtBezahlt*DarlehenIstGut,ZinsBetrag,""), "")</f>
        <v>71.125872791463081</v>
      </c>
      <c r="H31" s="11">
        <f ca="1">IFERROR(IF(DarlehenNichtBezahlt*DarlehenIstGut,AbschlussSaldo,""), "")</f>
        <v>15394.150817872713</v>
      </c>
    </row>
    <row r="32" spans="2:8" ht="20.100000000000001" customHeight="1">
      <c r="B32" s="9">
        <f ca="1">IFERROR(IF(DarlehenNichtBezahlt*DarlehenIstGut,ZahlungNummer,""), "")</f>
        <v>23</v>
      </c>
      <c r="C32" s="10">
        <f ca="1">IFERROR(IF(DarlehenNichtBezahlt*DarlehenIstGut,ZahlungsDatum,""), "")</f>
        <v>44850</v>
      </c>
      <c r="D32" s="11">
        <f ca="1">IFERROR(IF(DarlehenNichtBezahlt*DarlehenIstGut,DarlehensWert,""), "")</f>
        <v>15394.150817872713</v>
      </c>
      <c r="E32" s="11">
        <f ca="1">IFERROR(IF(DarlehenNichtBezahlt*DarlehenIstGut,MonatlicheZahlung,""), "")</f>
        <v>195.34730032886532</v>
      </c>
      <c r="F32" s="11">
        <f ca="1">IFERROR(IF(DarlehenNichtBezahlt*DarlehenIstGut,Kapital,""), "")</f>
        <v>124.7907757469487</v>
      </c>
      <c r="G32" s="11">
        <f ca="1">IFERROR(IF(DarlehenNichtBezahlt*DarlehenIstGut,ZinsBetrag,""), "")</f>
        <v>70.556524581916634</v>
      </c>
      <c r="H32" s="11">
        <f ca="1">IFERROR(IF(DarlehenNichtBezahlt*DarlehenIstGut,AbschlussSaldo,""), "")</f>
        <v>15269.360042125769</v>
      </c>
    </row>
    <row r="33" spans="2:8" ht="20.100000000000001" customHeight="1">
      <c r="B33" s="9">
        <f ca="1">IFERROR(IF(DarlehenNichtBezahlt*DarlehenIstGut,ZahlungNummer,""), "")</f>
        <v>24</v>
      </c>
      <c r="C33" s="10">
        <f ca="1">IFERROR(IF(DarlehenNichtBezahlt*DarlehenIstGut,ZahlungsDatum,""), "")</f>
        <v>44881</v>
      </c>
      <c r="D33" s="11">
        <f ca="1">IFERROR(IF(DarlehenNichtBezahlt*DarlehenIstGut,DarlehensWert,""), "")</f>
        <v>15269.360042125769</v>
      </c>
      <c r="E33" s="11">
        <f ca="1">IFERROR(IF(DarlehenNichtBezahlt*DarlehenIstGut,MonatlicheZahlung,""), "")</f>
        <v>195.34730032886532</v>
      </c>
      <c r="F33" s="11">
        <f ca="1">IFERROR(IF(DarlehenNichtBezahlt*DarlehenIstGut,Kapital,""), "")</f>
        <v>125.36273346912219</v>
      </c>
      <c r="G33" s="11">
        <f ca="1">IFERROR(IF(DarlehenNichtBezahlt*DarlehenIstGut,ZinsBetrag,""), "")</f>
        <v>69.984566859743126</v>
      </c>
      <c r="H33" s="11">
        <f ca="1">IFERROR(IF(DarlehenNichtBezahlt*DarlehenIstGut,AbschlussSaldo,""), "")</f>
        <v>15143.997308656646</v>
      </c>
    </row>
    <row r="34" spans="2:8" ht="20.100000000000001" customHeight="1">
      <c r="B34" s="9">
        <f ca="1">IFERROR(IF(DarlehenNichtBezahlt*DarlehenIstGut,ZahlungNummer,""), "")</f>
        <v>25</v>
      </c>
      <c r="C34" s="10">
        <f ca="1">IFERROR(IF(DarlehenNichtBezahlt*DarlehenIstGut,ZahlungsDatum,""), "")</f>
        <v>44911</v>
      </c>
      <c r="D34" s="11">
        <f ca="1">IFERROR(IF(DarlehenNichtBezahlt*DarlehenIstGut,DarlehensWert,""), "")</f>
        <v>15143.997308656646</v>
      </c>
      <c r="E34" s="11">
        <f ca="1">IFERROR(IF(DarlehenNichtBezahlt*DarlehenIstGut,MonatlicheZahlung,""), "")</f>
        <v>195.34730032886532</v>
      </c>
      <c r="F34" s="11">
        <f ca="1">IFERROR(IF(DarlehenNichtBezahlt*DarlehenIstGut,Kapital,""), "")</f>
        <v>125.93731266418902</v>
      </c>
      <c r="G34" s="11">
        <f ca="1">IFERROR(IF(DarlehenNichtBezahlt*DarlehenIstGut,ZinsBetrag,""), "")</f>
        <v>69.409987664676322</v>
      </c>
      <c r="H34" s="11">
        <f ca="1">IFERROR(IF(DarlehenNichtBezahlt*DarlehenIstGut,AbschlussSaldo,""), "")</f>
        <v>15018.059995992458</v>
      </c>
    </row>
    <row r="35" spans="2:8" ht="20.100000000000001" customHeight="1">
      <c r="B35" s="9">
        <f ca="1">IFERROR(IF(DarlehenNichtBezahlt*DarlehenIstGut,ZahlungNummer,""), "")</f>
        <v>26</v>
      </c>
      <c r="C35" s="10">
        <f ca="1">IFERROR(IF(DarlehenNichtBezahlt*DarlehenIstGut,ZahlungsDatum,""), "")</f>
        <v>44942</v>
      </c>
      <c r="D35" s="11">
        <f ca="1">IFERROR(IF(DarlehenNichtBezahlt*DarlehenIstGut,DarlehensWert,""), "")</f>
        <v>15018.059995992458</v>
      </c>
      <c r="E35" s="11">
        <f ca="1">IFERROR(IF(DarlehenNichtBezahlt*DarlehenIstGut,MonatlicheZahlung,""), "")</f>
        <v>195.34730032886532</v>
      </c>
      <c r="F35" s="11">
        <f ca="1">IFERROR(IF(DarlehenNichtBezahlt*DarlehenIstGut,Kapital,""), "")</f>
        <v>126.51452534723322</v>
      </c>
      <c r="G35" s="11">
        <f ca="1">IFERROR(IF(DarlehenNichtBezahlt*DarlehenIstGut,ZinsBetrag,""), "")</f>
        <v>68.832774981632127</v>
      </c>
      <c r="H35" s="11">
        <f ca="1">IFERROR(IF(DarlehenNichtBezahlt*DarlehenIstGut,AbschlussSaldo,""), "")</f>
        <v>14891.545470645227</v>
      </c>
    </row>
    <row r="36" spans="2:8" ht="20.100000000000001" customHeight="1">
      <c r="B36" s="9">
        <f ca="1">IFERROR(IF(DarlehenNichtBezahlt*DarlehenIstGut,ZahlungNummer,""), "")</f>
        <v>27</v>
      </c>
      <c r="C36" s="10">
        <f ca="1">IFERROR(IF(DarlehenNichtBezahlt*DarlehenIstGut,ZahlungsDatum,""), "")</f>
        <v>44973</v>
      </c>
      <c r="D36" s="11">
        <f ca="1">IFERROR(IF(DarlehenNichtBezahlt*DarlehenIstGut,DarlehensWert,""), "")</f>
        <v>14891.545470645227</v>
      </c>
      <c r="E36" s="11">
        <f ca="1">IFERROR(IF(DarlehenNichtBezahlt*DarlehenIstGut,MonatlicheZahlung,""), "")</f>
        <v>195.34730032886532</v>
      </c>
      <c r="F36" s="11">
        <f ca="1">IFERROR(IF(DarlehenNichtBezahlt*DarlehenIstGut,Kapital,""), "")</f>
        <v>127.09438358840802</v>
      </c>
      <c r="G36" s="11">
        <f ca="1">IFERROR(IF(DarlehenNichtBezahlt*DarlehenIstGut,ZinsBetrag,""), "")</f>
        <v>68.252916740457309</v>
      </c>
      <c r="H36" s="11">
        <f ca="1">IFERROR(IF(DarlehenNichtBezahlt*DarlehenIstGut,AbschlussSaldo,""), "")</f>
        <v>14764.451087056819</v>
      </c>
    </row>
    <row r="37" spans="2:8" ht="20.100000000000001" customHeight="1">
      <c r="B37" s="9">
        <f ca="1">IFERROR(IF(DarlehenNichtBezahlt*DarlehenIstGut,ZahlungNummer,""), "")</f>
        <v>28</v>
      </c>
      <c r="C37" s="10">
        <f ca="1">IFERROR(IF(DarlehenNichtBezahlt*DarlehenIstGut,ZahlungsDatum,""), "")</f>
        <v>45001</v>
      </c>
      <c r="D37" s="11">
        <f ca="1">IFERROR(IF(DarlehenNichtBezahlt*DarlehenIstGut,DarlehensWert,""), "")</f>
        <v>14764.451087056819</v>
      </c>
      <c r="E37" s="11">
        <f ca="1">IFERROR(IF(DarlehenNichtBezahlt*DarlehenIstGut,MonatlicheZahlung,""), "")</f>
        <v>195.34730032886532</v>
      </c>
      <c r="F37" s="11">
        <f ca="1">IFERROR(IF(DarlehenNichtBezahlt*DarlehenIstGut,Kapital,""), "")</f>
        <v>127.67689951318822</v>
      </c>
      <c r="G37" s="11">
        <f ca="1">IFERROR(IF(DarlehenNichtBezahlt*DarlehenIstGut,ZinsBetrag,""), "")</f>
        <v>67.670400815677098</v>
      </c>
      <c r="H37" s="11">
        <f ca="1">IFERROR(IF(DarlehenNichtBezahlt*DarlehenIstGut,AbschlussSaldo,""), "")</f>
        <v>14636.774187543633</v>
      </c>
    </row>
    <row r="38" spans="2:8" ht="20.100000000000001" customHeight="1">
      <c r="B38" s="9">
        <f ca="1">IFERROR(IF(DarlehenNichtBezahlt*DarlehenIstGut,ZahlungNummer,""), "")</f>
        <v>29</v>
      </c>
      <c r="C38" s="10">
        <f ca="1">IFERROR(IF(DarlehenNichtBezahlt*DarlehenIstGut,ZahlungsDatum,""), "")</f>
        <v>45032</v>
      </c>
      <c r="D38" s="11">
        <f ca="1">IFERROR(IF(DarlehenNichtBezahlt*DarlehenIstGut,DarlehensWert,""), "")</f>
        <v>14636.774187543633</v>
      </c>
      <c r="E38" s="11">
        <f ca="1">IFERROR(IF(DarlehenNichtBezahlt*DarlehenIstGut,MonatlicheZahlung,""), "")</f>
        <v>195.34730032886532</v>
      </c>
      <c r="F38" s="11">
        <f ca="1">IFERROR(IF(DarlehenNichtBezahlt*DarlehenIstGut,Kapital,""), "")</f>
        <v>128.26208530262369</v>
      </c>
      <c r="G38" s="11">
        <f ca="1">IFERROR(IF(DarlehenNichtBezahlt*DarlehenIstGut,ZinsBetrag,""), "")</f>
        <v>67.085215026241656</v>
      </c>
      <c r="H38" s="11">
        <f ca="1">IFERROR(IF(DarlehenNichtBezahlt*DarlehenIstGut,AbschlussSaldo,""), "")</f>
        <v>14508.512102241004</v>
      </c>
    </row>
    <row r="39" spans="2:8" ht="20.100000000000001" customHeight="1">
      <c r="B39" s="9">
        <f ca="1">IFERROR(IF(DarlehenNichtBezahlt*DarlehenIstGut,ZahlungNummer,""), "")</f>
        <v>30</v>
      </c>
      <c r="C39" s="10">
        <f ca="1">IFERROR(IF(DarlehenNichtBezahlt*DarlehenIstGut,ZahlungsDatum,""), "")</f>
        <v>45062</v>
      </c>
      <c r="D39" s="11">
        <f ca="1">IFERROR(IF(DarlehenNichtBezahlt*DarlehenIstGut,DarlehensWert,""), "")</f>
        <v>14508.512102241004</v>
      </c>
      <c r="E39" s="11">
        <f ca="1">IFERROR(IF(DarlehenNichtBezahlt*DarlehenIstGut,MonatlicheZahlung,""), "")</f>
        <v>195.34730032886532</v>
      </c>
      <c r="F39" s="11">
        <f ca="1">IFERROR(IF(DarlehenNichtBezahlt*DarlehenIstGut,Kapital,""), "")</f>
        <v>128.84995319359405</v>
      </c>
      <c r="G39" s="11">
        <f ca="1">IFERROR(IF(DarlehenNichtBezahlt*DarlehenIstGut,ZinsBetrag,""), "")</f>
        <v>66.497347135271298</v>
      </c>
      <c r="H39" s="11">
        <f ca="1">IFERROR(IF(DarlehenNichtBezahlt*DarlehenIstGut,AbschlussSaldo,""), "")</f>
        <v>14379.66214904741</v>
      </c>
    </row>
    <row r="40" spans="2:8" ht="20.100000000000001" customHeight="1">
      <c r="B40" s="9">
        <f ca="1">IFERROR(IF(DarlehenNichtBezahlt*DarlehenIstGut,ZahlungNummer,""), "")</f>
        <v>31</v>
      </c>
      <c r="C40" s="10">
        <f ca="1">IFERROR(IF(DarlehenNichtBezahlt*DarlehenIstGut,ZahlungsDatum,""), "")</f>
        <v>45093</v>
      </c>
      <c r="D40" s="11">
        <f ca="1">IFERROR(IF(DarlehenNichtBezahlt*DarlehenIstGut,DarlehensWert,""), "")</f>
        <v>14379.66214904741</v>
      </c>
      <c r="E40" s="11">
        <f ca="1">IFERROR(IF(DarlehenNichtBezahlt*DarlehenIstGut,MonatlicheZahlung,""), "")</f>
        <v>195.34730032886532</v>
      </c>
      <c r="F40" s="11">
        <f ca="1">IFERROR(IF(DarlehenNichtBezahlt*DarlehenIstGut,Kapital,""), "")</f>
        <v>129.44051547906469</v>
      </c>
      <c r="G40" s="11">
        <f ca="1">IFERROR(IF(DarlehenNichtBezahlt*DarlehenIstGut,ZinsBetrag,""), "")</f>
        <v>65.906784849800658</v>
      </c>
      <c r="H40" s="11">
        <f ca="1">IFERROR(IF(DarlehenNichtBezahlt*DarlehenIstGut,AbschlussSaldo,""), "")</f>
        <v>14250.221633568348</v>
      </c>
    </row>
    <row r="41" spans="2:8" ht="20.100000000000001" customHeight="1">
      <c r="B41" s="9">
        <f ca="1">IFERROR(IF(DarlehenNichtBezahlt*DarlehenIstGut,ZahlungNummer,""), "")</f>
        <v>32</v>
      </c>
      <c r="C41" s="10">
        <f ca="1">IFERROR(IF(DarlehenNichtBezahlt*DarlehenIstGut,ZahlungsDatum,""), "")</f>
        <v>45123</v>
      </c>
      <c r="D41" s="11">
        <f ca="1">IFERROR(IF(DarlehenNichtBezahlt*DarlehenIstGut,DarlehensWert,""), "")</f>
        <v>14250.221633568348</v>
      </c>
      <c r="E41" s="11">
        <f ca="1">IFERROR(IF(DarlehenNichtBezahlt*DarlehenIstGut,MonatlicheZahlung,""), "")</f>
        <v>195.34730032886532</v>
      </c>
      <c r="F41" s="11">
        <f ca="1">IFERROR(IF(DarlehenNichtBezahlt*DarlehenIstGut,Kapital,""), "")</f>
        <v>130.03378450834373</v>
      </c>
      <c r="G41" s="11">
        <f ca="1">IFERROR(IF(DarlehenNichtBezahlt*DarlehenIstGut,ZinsBetrag,""), "")</f>
        <v>65.313515820521616</v>
      </c>
      <c r="H41" s="11">
        <f ca="1">IFERROR(IF(DarlehenNichtBezahlt*DarlehenIstGut,AbschlussSaldo,""), "")</f>
        <v>14120.187849060003</v>
      </c>
    </row>
    <row r="42" spans="2:8" ht="20.100000000000001" customHeight="1">
      <c r="B42" s="9">
        <f ca="1">IFERROR(IF(DarlehenNichtBezahlt*DarlehenIstGut,ZahlungNummer,""), "")</f>
        <v>33</v>
      </c>
      <c r="C42" s="10">
        <f ca="1">IFERROR(IF(DarlehenNichtBezahlt*DarlehenIstGut,ZahlungsDatum,""), "")</f>
        <v>45154</v>
      </c>
      <c r="D42" s="11">
        <f ca="1">IFERROR(IF(DarlehenNichtBezahlt*DarlehenIstGut,DarlehensWert,""), "")</f>
        <v>14120.187849060003</v>
      </c>
      <c r="E42" s="11">
        <f ca="1">IFERROR(IF(DarlehenNichtBezahlt*DarlehenIstGut,MonatlicheZahlung,""), "")</f>
        <v>195.34730032886532</v>
      </c>
      <c r="F42" s="11">
        <f ca="1">IFERROR(IF(DarlehenNichtBezahlt*DarlehenIstGut,Kapital,""), "")</f>
        <v>130.62977268734031</v>
      </c>
      <c r="G42" s="11">
        <f ca="1">IFERROR(IF(DarlehenNichtBezahlt*DarlehenIstGut,ZinsBetrag,""), "")</f>
        <v>64.717527641525024</v>
      </c>
      <c r="H42" s="11">
        <f ca="1">IFERROR(IF(DarlehenNichtBezahlt*DarlehenIstGut,AbschlussSaldo,""), "")</f>
        <v>13989.558076372656</v>
      </c>
    </row>
    <row r="43" spans="2:8" ht="20.100000000000001" customHeight="1">
      <c r="B43" s="9">
        <f ca="1">IFERROR(IF(DarlehenNichtBezahlt*DarlehenIstGut,ZahlungNummer,""), "")</f>
        <v>34</v>
      </c>
      <c r="C43" s="10">
        <f ca="1">IFERROR(IF(DarlehenNichtBezahlt*DarlehenIstGut,ZahlungsDatum,""), "")</f>
        <v>45185</v>
      </c>
      <c r="D43" s="11">
        <f ca="1">IFERROR(IF(DarlehenNichtBezahlt*DarlehenIstGut,DarlehensWert,""), "")</f>
        <v>13989.558076372656</v>
      </c>
      <c r="E43" s="11">
        <f ca="1">IFERROR(IF(DarlehenNichtBezahlt*DarlehenIstGut,MonatlicheZahlung,""), "")</f>
        <v>195.34730032886532</v>
      </c>
      <c r="F43" s="11">
        <f ca="1">IFERROR(IF(DarlehenNichtBezahlt*DarlehenIstGut,Kapital,""), "")</f>
        <v>131.22849247882394</v>
      </c>
      <c r="G43" s="11">
        <f ca="1">IFERROR(IF(DarlehenNichtBezahlt*DarlehenIstGut,ZinsBetrag,""), "")</f>
        <v>64.118807850041392</v>
      </c>
      <c r="H43" s="11">
        <f ca="1">IFERROR(IF(DarlehenNichtBezahlt*DarlehenIstGut,AbschlussSaldo,""), "")</f>
        <v>13858.329583893832</v>
      </c>
    </row>
    <row r="44" spans="2:8" ht="20.100000000000001" customHeight="1">
      <c r="B44" s="9">
        <f ca="1">IFERROR(IF(DarlehenNichtBezahlt*DarlehenIstGut,ZahlungNummer,""), "")</f>
        <v>35</v>
      </c>
      <c r="C44" s="10">
        <f ca="1">IFERROR(IF(DarlehenNichtBezahlt*DarlehenIstGut,ZahlungsDatum,""), "")</f>
        <v>45215</v>
      </c>
      <c r="D44" s="11">
        <f ca="1">IFERROR(IF(DarlehenNichtBezahlt*DarlehenIstGut,DarlehensWert,""), "")</f>
        <v>13858.329583893832</v>
      </c>
      <c r="E44" s="11">
        <f ca="1">IFERROR(IF(DarlehenNichtBezahlt*DarlehenIstGut,MonatlicheZahlung,""), "")</f>
        <v>195.34730032886532</v>
      </c>
      <c r="F44" s="11">
        <f ca="1">IFERROR(IF(DarlehenNichtBezahlt*DarlehenIstGut,Kapital,""), "")</f>
        <v>131.82995640268521</v>
      </c>
      <c r="G44" s="11">
        <f ca="1">IFERROR(IF(DarlehenNichtBezahlt*DarlehenIstGut,ZinsBetrag,""), "")</f>
        <v>63.517343926180104</v>
      </c>
      <c r="H44" s="11">
        <f ca="1">IFERROR(IF(DarlehenNichtBezahlt*DarlehenIstGut,AbschlussSaldo,""), "")</f>
        <v>13726.49962749115</v>
      </c>
    </row>
    <row r="45" spans="2:8" ht="20.100000000000001" customHeight="1">
      <c r="B45" s="9">
        <f ca="1">IFERROR(IF(DarlehenNichtBezahlt*DarlehenIstGut,ZahlungNummer,""), "")</f>
        <v>36</v>
      </c>
      <c r="C45" s="10">
        <f ca="1">IFERROR(IF(DarlehenNichtBezahlt*DarlehenIstGut,ZahlungsDatum,""), "")</f>
        <v>45246</v>
      </c>
      <c r="D45" s="11">
        <f ca="1">IFERROR(IF(DarlehenNichtBezahlt*DarlehenIstGut,DarlehensWert,""), "")</f>
        <v>13726.49962749115</v>
      </c>
      <c r="E45" s="11">
        <f ca="1">IFERROR(IF(DarlehenNichtBezahlt*DarlehenIstGut,MonatlicheZahlung,""), "")</f>
        <v>195.34730032886532</v>
      </c>
      <c r="F45" s="11">
        <f ca="1">IFERROR(IF(DarlehenNichtBezahlt*DarlehenIstGut,Kapital,""), "")</f>
        <v>132.43417703619753</v>
      </c>
      <c r="G45" s="11">
        <f ca="1">IFERROR(IF(DarlehenNichtBezahlt*DarlehenIstGut,ZinsBetrag,""), "")</f>
        <v>62.913123292667805</v>
      </c>
      <c r="H45" s="11">
        <f ca="1">IFERROR(IF(DarlehenNichtBezahlt*DarlehenIstGut,AbschlussSaldo,""), "")</f>
        <v>13594.065450454949</v>
      </c>
    </row>
    <row r="46" spans="2:8" ht="20.100000000000001" customHeight="1">
      <c r="B46" s="9">
        <f ca="1">IFERROR(IF(DarlehenNichtBezahlt*DarlehenIstGut,ZahlungNummer,""), "")</f>
        <v>37</v>
      </c>
      <c r="C46" s="10">
        <f ca="1">IFERROR(IF(DarlehenNichtBezahlt*DarlehenIstGut,ZahlungsDatum,""), "")</f>
        <v>45276</v>
      </c>
      <c r="D46" s="11">
        <f ca="1">IFERROR(IF(DarlehenNichtBezahlt*DarlehenIstGut,DarlehensWert,""), "")</f>
        <v>13594.065450454949</v>
      </c>
      <c r="E46" s="11">
        <f ca="1">IFERROR(IF(DarlehenNichtBezahlt*DarlehenIstGut,MonatlicheZahlung,""), "")</f>
        <v>195.34730032886532</v>
      </c>
      <c r="F46" s="11">
        <f ca="1">IFERROR(IF(DarlehenNichtBezahlt*DarlehenIstGut,Kapital,""), "")</f>
        <v>133.04116701428009</v>
      </c>
      <c r="G46" s="11">
        <f ca="1">IFERROR(IF(DarlehenNichtBezahlt*DarlehenIstGut,ZinsBetrag,""), "")</f>
        <v>62.306133314585232</v>
      </c>
      <c r="H46" s="11">
        <f ca="1">IFERROR(IF(DarlehenNichtBezahlt*DarlehenIstGut,AbschlussSaldo,""), "")</f>
        <v>13461.024283440667</v>
      </c>
    </row>
    <row r="47" spans="2:8" ht="20.100000000000001" customHeight="1">
      <c r="B47" s="9">
        <f ca="1">IFERROR(IF(DarlehenNichtBezahlt*DarlehenIstGut,ZahlungNummer,""), "")</f>
        <v>38</v>
      </c>
      <c r="C47" s="10">
        <f ca="1">IFERROR(IF(DarlehenNichtBezahlt*DarlehenIstGut,ZahlungsDatum,""), "")</f>
        <v>45307</v>
      </c>
      <c r="D47" s="11">
        <f ca="1">IFERROR(IF(DarlehenNichtBezahlt*DarlehenIstGut,DarlehensWert,""), "")</f>
        <v>13461.024283440667</v>
      </c>
      <c r="E47" s="11">
        <f ca="1">IFERROR(IF(DarlehenNichtBezahlt*DarlehenIstGut,MonatlicheZahlung,""), "")</f>
        <v>195.34730032886532</v>
      </c>
      <c r="F47" s="11">
        <f ca="1">IFERROR(IF(DarlehenNichtBezahlt*DarlehenIstGut,Kapital,""), "")</f>
        <v>133.65093902976221</v>
      </c>
      <c r="G47" s="11">
        <f ca="1">IFERROR(IF(DarlehenNichtBezahlt*DarlehenIstGut,ZinsBetrag,""), "")</f>
        <v>61.696361299103117</v>
      </c>
      <c r="H47" s="11">
        <f ca="1">IFERROR(IF(DarlehenNichtBezahlt*DarlehenIstGut,AbschlussSaldo,""), "")</f>
        <v>13327.373344410906</v>
      </c>
    </row>
    <row r="48" spans="2:8" ht="20.100000000000001" customHeight="1">
      <c r="B48" s="9">
        <f ca="1">IFERROR(IF(DarlehenNichtBezahlt*DarlehenIstGut,ZahlungNummer,""), "")</f>
        <v>39</v>
      </c>
      <c r="C48" s="10">
        <f ca="1">IFERROR(IF(DarlehenNichtBezahlt*DarlehenIstGut,ZahlungsDatum,""), "")</f>
        <v>45338</v>
      </c>
      <c r="D48" s="11">
        <f ca="1">IFERROR(IF(DarlehenNichtBezahlt*DarlehenIstGut,DarlehensWert,""), "")</f>
        <v>13327.373344410906</v>
      </c>
      <c r="E48" s="11">
        <f ca="1">IFERROR(IF(DarlehenNichtBezahlt*DarlehenIstGut,MonatlicheZahlung,""), "")</f>
        <v>195.34730032886532</v>
      </c>
      <c r="F48" s="11">
        <f ca="1">IFERROR(IF(DarlehenNichtBezahlt*DarlehenIstGut,Kapital,""), "")</f>
        <v>134.26350583364862</v>
      </c>
      <c r="G48" s="11">
        <f ca="1">IFERROR(IF(DarlehenNichtBezahlt*DarlehenIstGut,ZinsBetrag,""), "")</f>
        <v>61.083794495216708</v>
      </c>
      <c r="H48" s="11">
        <f ca="1">IFERROR(IF(DarlehenNichtBezahlt*DarlehenIstGut,AbschlussSaldo,""), "")</f>
        <v>13193.10983857726</v>
      </c>
    </row>
    <row r="49" spans="2:8" ht="20.100000000000001" customHeight="1">
      <c r="B49" s="9">
        <f ca="1">IFERROR(IF(DarlehenNichtBezahlt*DarlehenIstGut,ZahlungNummer,""), "")</f>
        <v>40</v>
      </c>
      <c r="C49" s="10">
        <f ca="1">IFERROR(IF(DarlehenNichtBezahlt*DarlehenIstGut,ZahlungsDatum,""), "")</f>
        <v>45367</v>
      </c>
      <c r="D49" s="11">
        <f ca="1">IFERROR(IF(DarlehenNichtBezahlt*DarlehenIstGut,DarlehensWert,""), "")</f>
        <v>13193.10983857726</v>
      </c>
      <c r="E49" s="11">
        <f ca="1">IFERROR(IF(DarlehenNichtBezahlt*DarlehenIstGut,MonatlicheZahlung,""), "")</f>
        <v>195.34730032886532</v>
      </c>
      <c r="F49" s="11">
        <f ca="1">IFERROR(IF(DarlehenNichtBezahlt*DarlehenIstGut,Kapital,""), "")</f>
        <v>134.87888023538616</v>
      </c>
      <c r="G49" s="11">
        <f ca="1">IFERROR(IF(DarlehenNichtBezahlt*DarlehenIstGut,ZinsBetrag,""), "")</f>
        <v>60.468420093479153</v>
      </c>
      <c r="H49" s="11">
        <f ca="1">IFERROR(IF(DarlehenNichtBezahlt*DarlehenIstGut,AbschlussSaldo,""), "")</f>
        <v>13058.230958341877</v>
      </c>
    </row>
    <row r="50" spans="2:8" ht="20.100000000000001" customHeight="1">
      <c r="B50" s="9">
        <f ca="1">IFERROR(IF(DarlehenNichtBezahlt*DarlehenIstGut,ZahlungNummer,""), "")</f>
        <v>41</v>
      </c>
      <c r="C50" s="10">
        <f ca="1">IFERROR(IF(DarlehenNichtBezahlt*DarlehenIstGut,ZahlungsDatum,""), "")</f>
        <v>45398</v>
      </c>
      <c r="D50" s="11">
        <f ca="1">IFERROR(IF(DarlehenNichtBezahlt*DarlehenIstGut,DarlehensWert,""), "")</f>
        <v>13058.230958341877</v>
      </c>
      <c r="E50" s="11">
        <f ca="1">IFERROR(IF(DarlehenNichtBezahlt*DarlehenIstGut,MonatlicheZahlung,""), "")</f>
        <v>195.34730032886532</v>
      </c>
      <c r="F50" s="11">
        <f ca="1">IFERROR(IF(DarlehenNichtBezahlt*DarlehenIstGut,Kapital,""), "")</f>
        <v>135.49707510313169</v>
      </c>
      <c r="G50" s="11">
        <f ca="1">IFERROR(IF(DarlehenNichtBezahlt*DarlehenIstGut,ZinsBetrag,""), "")</f>
        <v>59.850225225733631</v>
      </c>
      <c r="H50" s="11">
        <f ca="1">IFERROR(IF(DarlehenNichtBezahlt*DarlehenIstGut,AbschlussSaldo,""), "")</f>
        <v>12922.733883238745</v>
      </c>
    </row>
    <row r="51" spans="2:8" ht="20.100000000000001" customHeight="1">
      <c r="B51" s="9">
        <f ca="1">IFERROR(IF(DarlehenNichtBezahlt*DarlehenIstGut,ZahlungNummer,""), "")</f>
        <v>42</v>
      </c>
      <c r="C51" s="10">
        <f ca="1">IFERROR(IF(DarlehenNichtBezahlt*DarlehenIstGut,ZahlungsDatum,""), "")</f>
        <v>45428</v>
      </c>
      <c r="D51" s="11">
        <f ca="1">IFERROR(IF(DarlehenNichtBezahlt*DarlehenIstGut,DarlehensWert,""), "")</f>
        <v>12922.733883238745</v>
      </c>
      <c r="E51" s="11">
        <f ca="1">IFERROR(IF(DarlehenNichtBezahlt*DarlehenIstGut,MonatlicheZahlung,""), "")</f>
        <v>195.34730032886532</v>
      </c>
      <c r="F51" s="11">
        <f ca="1">IFERROR(IF(DarlehenNichtBezahlt*DarlehenIstGut,Kapital,""), "")</f>
        <v>136.11810336402107</v>
      </c>
      <c r="G51" s="11">
        <f ca="1">IFERROR(IF(DarlehenNichtBezahlt*DarlehenIstGut,ZinsBetrag,""), "")</f>
        <v>59.229196964844284</v>
      </c>
      <c r="H51" s="11">
        <f ca="1">IFERROR(IF(DarlehenNichtBezahlt*DarlehenIstGut,AbschlussSaldo,""), "")</f>
        <v>12786.615779874721</v>
      </c>
    </row>
    <row r="52" spans="2:8" ht="20.100000000000001" customHeight="1">
      <c r="B52" s="9">
        <f ca="1">IFERROR(IF(DarlehenNichtBezahlt*DarlehenIstGut,ZahlungNummer,""), "")</f>
        <v>43</v>
      </c>
      <c r="C52" s="10">
        <f ca="1">IFERROR(IF(DarlehenNichtBezahlt*DarlehenIstGut,ZahlungsDatum,""), "")</f>
        <v>45459</v>
      </c>
      <c r="D52" s="11">
        <f ca="1">IFERROR(IF(DarlehenNichtBezahlt*DarlehenIstGut,DarlehensWert,""), "")</f>
        <v>12786.615779874721</v>
      </c>
      <c r="E52" s="11">
        <f ca="1">IFERROR(IF(DarlehenNichtBezahlt*DarlehenIstGut,MonatlicheZahlung,""), "")</f>
        <v>195.34730032886532</v>
      </c>
      <c r="F52" s="11">
        <f ca="1">IFERROR(IF(DarlehenNichtBezahlt*DarlehenIstGut,Kapital,""), "")</f>
        <v>136.74197800443949</v>
      </c>
      <c r="G52" s="11">
        <f ca="1">IFERROR(IF(DarlehenNichtBezahlt*DarlehenIstGut,ZinsBetrag,""), "")</f>
        <v>58.605322324425835</v>
      </c>
      <c r="H52" s="11">
        <f ca="1">IFERROR(IF(DarlehenNichtBezahlt*DarlehenIstGut,AbschlussSaldo,""), "")</f>
        <v>12649.873801870279</v>
      </c>
    </row>
    <row r="53" spans="2:8" ht="20.100000000000001" customHeight="1">
      <c r="B53" s="9">
        <f ca="1">IFERROR(IF(DarlehenNichtBezahlt*DarlehenIstGut,ZahlungNummer,""), "")</f>
        <v>44</v>
      </c>
      <c r="C53" s="10">
        <f ca="1">IFERROR(IF(DarlehenNichtBezahlt*DarlehenIstGut,ZahlungsDatum,""), "")</f>
        <v>45489</v>
      </c>
      <c r="D53" s="11">
        <f ca="1">IFERROR(IF(DarlehenNichtBezahlt*DarlehenIstGut,DarlehensWert,""), "")</f>
        <v>12649.873801870279</v>
      </c>
      <c r="E53" s="11">
        <f ca="1">IFERROR(IF(DarlehenNichtBezahlt*DarlehenIstGut,MonatlicheZahlung,""), "")</f>
        <v>195.34730032886532</v>
      </c>
      <c r="F53" s="11">
        <f ca="1">IFERROR(IF(DarlehenNichtBezahlt*DarlehenIstGut,Kapital,""), "")</f>
        <v>137.36871207029316</v>
      </c>
      <c r="G53" s="11">
        <f ca="1">IFERROR(IF(DarlehenNichtBezahlt*DarlehenIstGut,ZinsBetrag,""), "")</f>
        <v>57.978588258572159</v>
      </c>
      <c r="H53" s="11">
        <f ca="1">IFERROR(IF(DarlehenNichtBezahlt*DarlehenIstGut,AbschlussSaldo,""), "")</f>
        <v>12512.505089799994</v>
      </c>
    </row>
    <row r="54" spans="2:8" ht="20.100000000000001" customHeight="1">
      <c r="B54" s="9">
        <f ca="1">IFERROR(IF(DarlehenNichtBezahlt*DarlehenIstGut,ZahlungNummer,""), "")</f>
        <v>45</v>
      </c>
      <c r="C54" s="10">
        <f ca="1">IFERROR(IF(DarlehenNichtBezahlt*DarlehenIstGut,ZahlungsDatum,""), "")</f>
        <v>45520</v>
      </c>
      <c r="D54" s="11">
        <f ca="1">IFERROR(IF(DarlehenNichtBezahlt*DarlehenIstGut,DarlehensWert,""), "")</f>
        <v>12512.505089799994</v>
      </c>
      <c r="E54" s="11">
        <f ca="1">IFERROR(IF(DarlehenNichtBezahlt*DarlehenIstGut,MonatlicheZahlung,""), "")</f>
        <v>195.34730032886532</v>
      </c>
      <c r="F54" s="11">
        <f ca="1">IFERROR(IF(DarlehenNichtBezahlt*DarlehenIstGut,Kapital,""), "")</f>
        <v>137.99831866728198</v>
      </c>
      <c r="G54" s="11">
        <f ca="1">IFERROR(IF(DarlehenNichtBezahlt*DarlehenIstGut,ZinsBetrag,""), "")</f>
        <v>57.348981661583323</v>
      </c>
      <c r="H54" s="11">
        <f ca="1">IFERROR(IF(DarlehenNichtBezahlt*DarlehenIstGut,AbschlussSaldo,""), "")</f>
        <v>12374.506771132708</v>
      </c>
    </row>
    <row r="55" spans="2:8" ht="20.100000000000001" customHeight="1">
      <c r="B55" s="9">
        <f ca="1">IFERROR(IF(DarlehenNichtBezahlt*DarlehenIstGut,ZahlungNummer,""), "")</f>
        <v>46</v>
      </c>
      <c r="C55" s="10">
        <f ca="1">IFERROR(IF(DarlehenNichtBezahlt*DarlehenIstGut,ZahlungsDatum,""), "")</f>
        <v>45551</v>
      </c>
      <c r="D55" s="11">
        <f ca="1">IFERROR(IF(DarlehenNichtBezahlt*DarlehenIstGut,DarlehensWert,""), "")</f>
        <v>12374.506771132708</v>
      </c>
      <c r="E55" s="11">
        <f ca="1">IFERROR(IF(DarlehenNichtBezahlt*DarlehenIstGut,MonatlicheZahlung,""), "")</f>
        <v>195.34730032886532</v>
      </c>
      <c r="F55" s="11">
        <f ca="1">IFERROR(IF(DarlehenNichtBezahlt*DarlehenIstGut,Kapital,""), "")</f>
        <v>138.63081096117372</v>
      </c>
      <c r="G55" s="11">
        <f ca="1">IFERROR(IF(DarlehenNichtBezahlt*DarlehenIstGut,ZinsBetrag,""), "")</f>
        <v>56.716489367691615</v>
      </c>
      <c r="H55" s="11">
        <f ca="1">IFERROR(IF(DarlehenNichtBezahlt*DarlehenIstGut,AbschlussSaldo,""), "")</f>
        <v>12235.875960171528</v>
      </c>
    </row>
    <row r="56" spans="2:8" ht="20.100000000000001" customHeight="1">
      <c r="B56" s="9">
        <f ca="1">IFERROR(IF(DarlehenNichtBezahlt*DarlehenIstGut,ZahlungNummer,""), "")</f>
        <v>47</v>
      </c>
      <c r="C56" s="10">
        <f ca="1">IFERROR(IF(DarlehenNichtBezahlt*DarlehenIstGut,ZahlungsDatum,""), "")</f>
        <v>45581</v>
      </c>
      <c r="D56" s="11">
        <f ca="1">IFERROR(IF(DarlehenNichtBezahlt*DarlehenIstGut,DarlehensWert,""), "")</f>
        <v>12235.875960171528</v>
      </c>
      <c r="E56" s="11">
        <f ca="1">IFERROR(IF(DarlehenNichtBezahlt*DarlehenIstGut,MonatlicheZahlung,""), "")</f>
        <v>195.34730032886532</v>
      </c>
      <c r="F56" s="11">
        <f ca="1">IFERROR(IF(DarlehenNichtBezahlt*DarlehenIstGut,Kapital,""), "")</f>
        <v>139.26620217807908</v>
      </c>
      <c r="G56" s="11">
        <f ca="1">IFERROR(IF(DarlehenNichtBezahlt*DarlehenIstGut,ZinsBetrag,""), "")</f>
        <v>56.081098150786232</v>
      </c>
      <c r="H56" s="11">
        <f ca="1">IFERROR(IF(DarlehenNichtBezahlt*DarlehenIstGut,AbschlussSaldo,""), "")</f>
        <v>12096.609757993458</v>
      </c>
    </row>
    <row r="57" spans="2:8" ht="20.100000000000001" customHeight="1">
      <c r="B57" s="9">
        <f ca="1">IFERROR(IF(DarlehenNichtBezahlt*DarlehenIstGut,ZahlungNummer,""), "")</f>
        <v>48</v>
      </c>
      <c r="C57" s="10">
        <f ca="1">IFERROR(IF(DarlehenNichtBezahlt*DarlehenIstGut,ZahlungsDatum,""), "")</f>
        <v>45612</v>
      </c>
      <c r="D57" s="11">
        <f ca="1">IFERROR(IF(DarlehenNichtBezahlt*DarlehenIstGut,DarlehensWert,""), "")</f>
        <v>12096.609757993458</v>
      </c>
      <c r="E57" s="11">
        <f ca="1">IFERROR(IF(DarlehenNichtBezahlt*DarlehenIstGut,MonatlicheZahlung,""), "")</f>
        <v>195.34730032886532</v>
      </c>
      <c r="F57" s="11">
        <f ca="1">IFERROR(IF(DarlehenNichtBezahlt*DarlehenIstGut,Kapital,""), "")</f>
        <v>139.90450560472863</v>
      </c>
      <c r="G57" s="11">
        <f ca="1">IFERROR(IF(DarlehenNichtBezahlt*DarlehenIstGut,ZinsBetrag,""), "")</f>
        <v>55.442794724136704</v>
      </c>
      <c r="H57" s="11">
        <f ca="1">IFERROR(IF(DarlehenNichtBezahlt*DarlehenIstGut,AbschlussSaldo,""), "")</f>
        <v>11956.705252388725</v>
      </c>
    </row>
    <row r="58" spans="2:8" ht="20.100000000000001" customHeight="1">
      <c r="B58" s="9">
        <f ca="1">IFERROR(IF(DarlehenNichtBezahlt*DarlehenIstGut,ZahlungNummer,""), "")</f>
        <v>49</v>
      </c>
      <c r="C58" s="10">
        <f ca="1">IFERROR(IF(DarlehenNichtBezahlt*DarlehenIstGut,ZahlungsDatum,""), "")</f>
        <v>45642</v>
      </c>
      <c r="D58" s="11">
        <f ca="1">IFERROR(IF(DarlehenNichtBezahlt*DarlehenIstGut,DarlehensWert,""), "")</f>
        <v>11956.705252388725</v>
      </c>
      <c r="E58" s="11">
        <f ca="1">IFERROR(IF(DarlehenNichtBezahlt*DarlehenIstGut,MonatlicheZahlung,""), "")</f>
        <v>195.34730032886532</v>
      </c>
      <c r="F58" s="11">
        <f ca="1">IFERROR(IF(DarlehenNichtBezahlt*DarlehenIstGut,Kapital,""), "")</f>
        <v>140.54573458875029</v>
      </c>
      <c r="G58" s="11">
        <f ca="1">IFERROR(IF(DarlehenNichtBezahlt*DarlehenIstGut,ZinsBetrag,""), "")</f>
        <v>54.801565740115031</v>
      </c>
      <c r="H58" s="11">
        <f ca="1">IFERROR(IF(DarlehenNichtBezahlt*DarlehenIstGut,AbschlussSaldo,""), "")</f>
        <v>11816.15951779997</v>
      </c>
    </row>
    <row r="59" spans="2:8" ht="20.100000000000001" customHeight="1">
      <c r="B59" s="9">
        <f ca="1">IFERROR(IF(DarlehenNichtBezahlt*DarlehenIstGut,ZahlungNummer,""), "")</f>
        <v>50</v>
      </c>
      <c r="C59" s="10">
        <f ca="1">IFERROR(IF(DarlehenNichtBezahlt*DarlehenIstGut,ZahlungsDatum,""), "")</f>
        <v>45673</v>
      </c>
      <c r="D59" s="11">
        <f ca="1">IFERROR(IF(DarlehenNichtBezahlt*DarlehenIstGut,DarlehensWert,""), "")</f>
        <v>11816.15951779997</v>
      </c>
      <c r="E59" s="11">
        <f ca="1">IFERROR(IF(DarlehenNichtBezahlt*DarlehenIstGut,MonatlicheZahlung,""), "")</f>
        <v>195.34730032886532</v>
      </c>
      <c r="F59" s="11">
        <f ca="1">IFERROR(IF(DarlehenNichtBezahlt*DarlehenIstGut,Kapital,""), "")</f>
        <v>141.18990253894876</v>
      </c>
      <c r="G59" s="11">
        <f ca="1">IFERROR(IF(DarlehenNichtBezahlt*DarlehenIstGut,ZinsBetrag,""), "")</f>
        <v>54.157397789916594</v>
      </c>
      <c r="H59" s="11">
        <f ca="1">IFERROR(IF(DarlehenNichtBezahlt*DarlehenIstGut,AbschlussSaldo,""), "")</f>
        <v>11674.969615261021</v>
      </c>
    </row>
    <row r="60" spans="2:8" ht="20.100000000000001" customHeight="1">
      <c r="B60" s="9">
        <f ca="1">IFERROR(IF(DarlehenNichtBezahlt*DarlehenIstGut,ZahlungNummer,""), "")</f>
        <v>51</v>
      </c>
      <c r="C60" s="10">
        <f ca="1">IFERROR(IF(DarlehenNichtBezahlt*DarlehenIstGut,ZahlungsDatum,""), "")</f>
        <v>45704</v>
      </c>
      <c r="D60" s="11">
        <f ca="1">IFERROR(IF(DarlehenNichtBezahlt*DarlehenIstGut,DarlehensWert,""), "")</f>
        <v>11674.969615261021</v>
      </c>
      <c r="E60" s="11">
        <f ca="1">IFERROR(IF(DarlehenNichtBezahlt*DarlehenIstGut,MonatlicheZahlung,""), "")</f>
        <v>195.34730032886532</v>
      </c>
      <c r="F60" s="11">
        <f ca="1">IFERROR(IF(DarlehenNichtBezahlt*DarlehenIstGut,Kapital,""), "")</f>
        <v>141.83702292558559</v>
      </c>
      <c r="G60" s="11">
        <f ca="1">IFERROR(IF(DarlehenNichtBezahlt*DarlehenIstGut,ZinsBetrag,""), "")</f>
        <v>53.510277403279737</v>
      </c>
      <c r="H60" s="11">
        <f ca="1">IFERROR(IF(DarlehenNichtBezahlt*DarlehenIstGut,AbschlussSaldo,""), "")</f>
        <v>11533.132592335438</v>
      </c>
    </row>
    <row r="61" spans="2:8" ht="20.100000000000001" customHeight="1">
      <c r="B61" s="9">
        <f ca="1">IFERROR(IF(DarlehenNichtBezahlt*DarlehenIstGut,ZahlungNummer,""), "")</f>
        <v>52</v>
      </c>
      <c r="C61" s="10">
        <f ca="1">IFERROR(IF(DarlehenNichtBezahlt*DarlehenIstGut,ZahlungsDatum,""), "")</f>
        <v>45732</v>
      </c>
      <c r="D61" s="11">
        <f ca="1">IFERROR(IF(DarlehenNichtBezahlt*DarlehenIstGut,DarlehensWert,""), "")</f>
        <v>11533.132592335438</v>
      </c>
      <c r="E61" s="11">
        <f ca="1">IFERROR(IF(DarlehenNichtBezahlt*DarlehenIstGut,MonatlicheZahlung,""), "")</f>
        <v>195.34730032886532</v>
      </c>
      <c r="F61" s="11">
        <f ca="1">IFERROR(IF(DarlehenNichtBezahlt*DarlehenIstGut,Kapital,""), "")</f>
        <v>142.4871092806612</v>
      </c>
      <c r="G61" s="11">
        <f ca="1">IFERROR(IF(DarlehenNichtBezahlt*DarlehenIstGut,ZinsBetrag,""), "")</f>
        <v>52.860191048204129</v>
      </c>
      <c r="H61" s="11">
        <f ca="1">IFERROR(IF(DarlehenNichtBezahlt*DarlehenIstGut,AbschlussSaldo,""), "")</f>
        <v>11390.645483054775</v>
      </c>
    </row>
    <row r="62" spans="2:8" ht="20.100000000000001" customHeight="1">
      <c r="B62" s="9">
        <f ca="1">IFERROR(IF(DarlehenNichtBezahlt*DarlehenIstGut,ZahlungNummer,""), "")</f>
        <v>53</v>
      </c>
      <c r="C62" s="10">
        <f ca="1">IFERROR(IF(DarlehenNichtBezahlt*DarlehenIstGut,ZahlungsDatum,""), "")</f>
        <v>45763</v>
      </c>
      <c r="D62" s="11">
        <f ca="1">IFERROR(IF(DarlehenNichtBezahlt*DarlehenIstGut,DarlehensWert,""), "")</f>
        <v>11390.645483054775</v>
      </c>
      <c r="E62" s="11">
        <f ca="1">IFERROR(IF(DarlehenNichtBezahlt*DarlehenIstGut,MonatlicheZahlung,""), "")</f>
        <v>195.34730032886532</v>
      </c>
      <c r="F62" s="11">
        <f ca="1">IFERROR(IF(DarlehenNichtBezahlt*DarlehenIstGut,Kapital,""), "")</f>
        <v>143.14017519819754</v>
      </c>
      <c r="G62" s="11">
        <f ca="1">IFERROR(IF(DarlehenNichtBezahlt*DarlehenIstGut,ZinsBetrag,""), "")</f>
        <v>52.207125130667769</v>
      </c>
      <c r="H62" s="11">
        <f ca="1">IFERROR(IF(DarlehenNichtBezahlt*DarlehenIstGut,AbschlussSaldo,""), "")</f>
        <v>11247.505307856574</v>
      </c>
    </row>
    <row r="63" spans="2:8" ht="20.100000000000001" customHeight="1">
      <c r="B63" s="9">
        <f ca="1">IFERROR(IF(DarlehenNichtBezahlt*DarlehenIstGut,ZahlungNummer,""), "")</f>
        <v>54</v>
      </c>
      <c r="C63" s="10">
        <f ca="1">IFERROR(IF(DarlehenNichtBezahlt*DarlehenIstGut,ZahlungsDatum,""), "")</f>
        <v>45793</v>
      </c>
      <c r="D63" s="11">
        <f ca="1">IFERROR(IF(DarlehenNichtBezahlt*DarlehenIstGut,DarlehensWert,""), "")</f>
        <v>11247.505307856574</v>
      </c>
      <c r="E63" s="11">
        <f ca="1">IFERROR(IF(DarlehenNichtBezahlt*DarlehenIstGut,MonatlicheZahlung,""), "")</f>
        <v>195.34730032886532</v>
      </c>
      <c r="F63" s="11">
        <f ca="1">IFERROR(IF(DarlehenNichtBezahlt*DarlehenIstGut,Kapital,""), "")</f>
        <v>143.79623433452261</v>
      </c>
      <c r="G63" s="11">
        <f ca="1">IFERROR(IF(DarlehenNichtBezahlt*DarlehenIstGut,ZinsBetrag,""), "")</f>
        <v>51.551065994342707</v>
      </c>
      <c r="H63" s="11">
        <f ca="1">IFERROR(IF(DarlehenNichtBezahlt*DarlehenIstGut,AbschlussSaldo,""), "")</f>
        <v>11103.709073522052</v>
      </c>
    </row>
    <row r="64" spans="2:8" ht="20.100000000000001" customHeight="1">
      <c r="B64" s="9">
        <f ca="1">IFERROR(IF(DarlehenNichtBezahlt*DarlehenIstGut,ZahlungNummer,""), "")</f>
        <v>55</v>
      </c>
      <c r="C64" s="10">
        <f ca="1">IFERROR(IF(DarlehenNichtBezahlt*DarlehenIstGut,ZahlungsDatum,""), "")</f>
        <v>45824</v>
      </c>
      <c r="D64" s="11">
        <f ca="1">IFERROR(IF(DarlehenNichtBezahlt*DarlehenIstGut,DarlehensWert,""), "")</f>
        <v>11103.709073522052</v>
      </c>
      <c r="E64" s="11">
        <f ca="1">IFERROR(IF(DarlehenNichtBezahlt*DarlehenIstGut,MonatlicheZahlung,""), "")</f>
        <v>195.34730032886532</v>
      </c>
      <c r="F64" s="11">
        <f ca="1">IFERROR(IF(DarlehenNichtBezahlt*DarlehenIstGut,Kapital,""), "")</f>
        <v>144.45530040855584</v>
      </c>
      <c r="G64" s="11">
        <f ca="1">IFERROR(IF(DarlehenNichtBezahlt*DarlehenIstGut,ZinsBetrag,""), "")</f>
        <v>50.891999920309473</v>
      </c>
      <c r="H64" s="11">
        <f ca="1">IFERROR(IF(DarlehenNichtBezahlt*DarlehenIstGut,AbschlussSaldo,""), "")</f>
        <v>10959.2537731135</v>
      </c>
    </row>
    <row r="65" spans="2:8" ht="20.100000000000001" customHeight="1">
      <c r="B65" s="9">
        <f ca="1">IFERROR(IF(DarlehenNichtBezahlt*DarlehenIstGut,ZahlungNummer,""), "")</f>
        <v>56</v>
      </c>
      <c r="C65" s="10">
        <f ca="1">IFERROR(IF(DarlehenNichtBezahlt*DarlehenIstGut,ZahlungsDatum,""), "")</f>
        <v>45854</v>
      </c>
      <c r="D65" s="11">
        <f ca="1">IFERROR(IF(DarlehenNichtBezahlt*DarlehenIstGut,DarlehensWert,""), "")</f>
        <v>10959.2537731135</v>
      </c>
      <c r="E65" s="11">
        <f ca="1">IFERROR(IF(DarlehenNichtBezahlt*DarlehenIstGut,MonatlicheZahlung,""), "")</f>
        <v>195.34730032886532</v>
      </c>
      <c r="F65" s="11">
        <f ca="1">IFERROR(IF(DarlehenNichtBezahlt*DarlehenIstGut,Kapital,""), "")</f>
        <v>145.11738720209507</v>
      </c>
      <c r="G65" s="11">
        <f ca="1">IFERROR(IF(DarlehenNichtBezahlt*DarlehenIstGut,ZinsBetrag,""), "")</f>
        <v>50.229913126770256</v>
      </c>
      <c r="H65" s="11">
        <f ca="1">IFERROR(IF(DarlehenNichtBezahlt*DarlehenIstGut,AbschlussSaldo,""), "")</f>
        <v>10814.136385911406</v>
      </c>
    </row>
    <row r="66" spans="2:8" ht="20.100000000000001" customHeight="1">
      <c r="B66" s="9">
        <f ca="1">IFERROR(IF(DarlehenNichtBezahlt*DarlehenIstGut,ZahlungNummer,""), "")</f>
        <v>57</v>
      </c>
      <c r="C66" s="10">
        <f ca="1">IFERROR(IF(DarlehenNichtBezahlt*DarlehenIstGut,ZahlungsDatum,""), "")</f>
        <v>45885</v>
      </c>
      <c r="D66" s="11">
        <f ca="1">IFERROR(IF(DarlehenNichtBezahlt*DarlehenIstGut,DarlehensWert,""), "")</f>
        <v>10814.136385911406</v>
      </c>
      <c r="E66" s="11">
        <f ca="1">IFERROR(IF(DarlehenNichtBezahlt*DarlehenIstGut,MonatlicheZahlung,""), "")</f>
        <v>195.34730032886532</v>
      </c>
      <c r="F66" s="11">
        <f ca="1">IFERROR(IF(DarlehenNichtBezahlt*DarlehenIstGut,Kapital,""), "")</f>
        <v>145.78250856010467</v>
      </c>
      <c r="G66" s="11">
        <f ca="1">IFERROR(IF(DarlehenNichtBezahlt*DarlehenIstGut,ZinsBetrag,""), "")</f>
        <v>49.564791768760664</v>
      </c>
      <c r="H66" s="11">
        <f ca="1">IFERROR(IF(DarlehenNichtBezahlt*DarlehenIstGut,AbschlussSaldo,""), "")</f>
        <v>10668.353877351301</v>
      </c>
    </row>
    <row r="67" spans="2:8" ht="20.100000000000001" customHeight="1">
      <c r="B67" s="9">
        <f ca="1">IFERROR(IF(DarlehenNichtBezahlt*DarlehenIstGut,ZahlungNummer,""), "")</f>
        <v>58</v>
      </c>
      <c r="C67" s="10">
        <f ca="1">IFERROR(IF(DarlehenNichtBezahlt*DarlehenIstGut,ZahlungsDatum,""), "")</f>
        <v>45916</v>
      </c>
      <c r="D67" s="11">
        <f ca="1">IFERROR(IF(DarlehenNichtBezahlt*DarlehenIstGut,DarlehensWert,""), "")</f>
        <v>10668.353877351301</v>
      </c>
      <c r="E67" s="11">
        <f ca="1">IFERROR(IF(DarlehenNichtBezahlt*DarlehenIstGut,MonatlicheZahlung,""), "")</f>
        <v>195.34730032886532</v>
      </c>
      <c r="F67" s="11">
        <f ca="1">IFERROR(IF(DarlehenNichtBezahlt*DarlehenIstGut,Kapital,""), "")</f>
        <v>146.45067839100514</v>
      </c>
      <c r="G67" s="11">
        <f ca="1">IFERROR(IF(DarlehenNichtBezahlt*DarlehenIstGut,ZinsBetrag,""), "")</f>
        <v>48.896621937860182</v>
      </c>
      <c r="H67" s="11">
        <f ca="1">IFERROR(IF(DarlehenNichtBezahlt*DarlehenIstGut,AbschlussSaldo,""), "")</f>
        <v>10521.903198960292</v>
      </c>
    </row>
    <row r="68" spans="2:8" ht="20.100000000000001" customHeight="1">
      <c r="B68" s="9">
        <f ca="1">IFERROR(IF(DarlehenNichtBezahlt*DarlehenIstGut,ZahlungNummer,""), "")</f>
        <v>59</v>
      </c>
      <c r="C68" s="10">
        <f ca="1">IFERROR(IF(DarlehenNichtBezahlt*DarlehenIstGut,ZahlungsDatum,""), "")</f>
        <v>45946</v>
      </c>
      <c r="D68" s="11">
        <f ca="1">IFERROR(IF(DarlehenNichtBezahlt*DarlehenIstGut,DarlehensWert,""), "")</f>
        <v>10521.903198960292</v>
      </c>
      <c r="E68" s="11">
        <f ca="1">IFERROR(IF(DarlehenNichtBezahlt*DarlehenIstGut,MonatlicheZahlung,""), "")</f>
        <v>195.34730032886532</v>
      </c>
      <c r="F68" s="11">
        <f ca="1">IFERROR(IF(DarlehenNichtBezahlt*DarlehenIstGut,Kapital,""), "")</f>
        <v>147.12191066696391</v>
      </c>
      <c r="G68" s="11">
        <f ca="1">IFERROR(IF(DarlehenNichtBezahlt*DarlehenIstGut,ZinsBetrag,""), "")</f>
        <v>48.22538966190141</v>
      </c>
      <c r="H68" s="11">
        <f ca="1">IFERROR(IF(DarlehenNichtBezahlt*DarlehenIstGut,AbschlussSaldo,""), "")</f>
        <v>10374.781288293327</v>
      </c>
    </row>
    <row r="69" spans="2:8" ht="20.100000000000001" customHeight="1">
      <c r="B69" s="9">
        <f ca="1">IFERROR(IF(DarlehenNichtBezahlt*DarlehenIstGut,ZahlungNummer,""), "")</f>
        <v>60</v>
      </c>
      <c r="C69" s="10">
        <f ca="1">IFERROR(IF(DarlehenNichtBezahlt*DarlehenIstGut,ZahlungsDatum,""), "")</f>
        <v>45977</v>
      </c>
      <c r="D69" s="11">
        <f ca="1">IFERROR(IF(DarlehenNichtBezahlt*DarlehenIstGut,DarlehensWert,""), "")</f>
        <v>10374.781288293327</v>
      </c>
      <c r="E69" s="11">
        <f ca="1">IFERROR(IF(DarlehenNichtBezahlt*DarlehenIstGut,MonatlicheZahlung,""), "")</f>
        <v>195.34730032886532</v>
      </c>
      <c r="F69" s="11">
        <f ca="1">IFERROR(IF(DarlehenNichtBezahlt*DarlehenIstGut,Kapital,""), "")</f>
        <v>147.79621942418751</v>
      </c>
      <c r="G69" s="11">
        <f ca="1">IFERROR(IF(DarlehenNichtBezahlt*DarlehenIstGut,ZinsBetrag,""), "")</f>
        <v>47.551080904677832</v>
      </c>
      <c r="H69" s="11">
        <f ca="1">IFERROR(IF(DarlehenNichtBezahlt*DarlehenIstGut,AbschlussSaldo,""), "")</f>
        <v>10226.98506886914</v>
      </c>
    </row>
    <row r="70" spans="2:8" ht="20.100000000000001" customHeight="1">
      <c r="B70" s="9">
        <f ca="1">IFERROR(IF(DarlehenNichtBezahlt*DarlehenIstGut,ZahlungNummer,""), "")</f>
        <v>61</v>
      </c>
      <c r="C70" s="10">
        <f ca="1">IFERROR(IF(DarlehenNichtBezahlt*DarlehenIstGut,ZahlungsDatum,""), "")</f>
        <v>46007</v>
      </c>
      <c r="D70" s="11">
        <f ca="1">IFERROR(IF(DarlehenNichtBezahlt*DarlehenIstGut,DarlehensWert,""), "")</f>
        <v>10226.98506886914</v>
      </c>
      <c r="E70" s="11">
        <f ca="1">IFERROR(IF(DarlehenNichtBezahlt*DarlehenIstGut,MonatlicheZahlung,""), "")</f>
        <v>195.34730032886532</v>
      </c>
      <c r="F70" s="11">
        <f ca="1">IFERROR(IF(DarlehenNichtBezahlt*DarlehenIstGut,Kapital,""), "")</f>
        <v>148.47361876321503</v>
      </c>
      <c r="G70" s="11">
        <f ca="1">IFERROR(IF(DarlehenNichtBezahlt*DarlehenIstGut,ZinsBetrag,""), "")</f>
        <v>46.873681565650301</v>
      </c>
      <c r="H70" s="11">
        <f ca="1">IFERROR(IF(DarlehenNichtBezahlt*DarlehenIstGut,AbschlussSaldo,""), "")</f>
        <v>10078.511450105922</v>
      </c>
    </row>
    <row r="71" spans="2:8" ht="20.100000000000001" customHeight="1">
      <c r="B71" s="9">
        <f ca="1">IFERROR(IF(DarlehenNichtBezahlt*DarlehenIstGut,ZahlungNummer,""), "")</f>
        <v>62</v>
      </c>
      <c r="C71" s="10">
        <f ca="1">IFERROR(IF(DarlehenNichtBezahlt*DarlehenIstGut,ZahlungsDatum,""), "")</f>
        <v>46038</v>
      </c>
      <c r="D71" s="11">
        <f ca="1">IFERROR(IF(DarlehenNichtBezahlt*DarlehenIstGut,DarlehensWert,""), "")</f>
        <v>10078.511450105922</v>
      </c>
      <c r="E71" s="11">
        <f ca="1">IFERROR(IF(DarlehenNichtBezahlt*DarlehenIstGut,MonatlicheZahlung,""), "")</f>
        <v>195.34730032886532</v>
      </c>
      <c r="F71" s="11">
        <f ca="1">IFERROR(IF(DarlehenNichtBezahlt*DarlehenIstGut,Kapital,""), "")</f>
        <v>149.15412284921308</v>
      </c>
      <c r="G71" s="11">
        <f ca="1">IFERROR(IF(DarlehenNichtBezahlt*DarlehenIstGut,ZinsBetrag,""), "")</f>
        <v>46.193177479652221</v>
      </c>
      <c r="H71" s="11">
        <f ca="1">IFERROR(IF(DarlehenNichtBezahlt*DarlehenIstGut,AbschlussSaldo,""), "")</f>
        <v>9929.3573272567119</v>
      </c>
    </row>
    <row r="72" spans="2:8" ht="20.100000000000001" customHeight="1">
      <c r="B72" s="9">
        <f ca="1">IFERROR(IF(DarlehenNichtBezahlt*DarlehenIstGut,ZahlungNummer,""), "")</f>
        <v>63</v>
      </c>
      <c r="C72" s="10">
        <f ca="1">IFERROR(IF(DarlehenNichtBezahlt*DarlehenIstGut,ZahlungsDatum,""), "")</f>
        <v>46069</v>
      </c>
      <c r="D72" s="11">
        <f ca="1">IFERROR(IF(DarlehenNichtBezahlt*DarlehenIstGut,DarlehensWert,""), "")</f>
        <v>9929.3573272567119</v>
      </c>
      <c r="E72" s="11">
        <f ca="1">IFERROR(IF(DarlehenNichtBezahlt*DarlehenIstGut,MonatlicheZahlung,""), "")</f>
        <v>195.34730032886532</v>
      </c>
      <c r="F72" s="11">
        <f ca="1">IFERROR(IF(DarlehenNichtBezahlt*DarlehenIstGut,Kapital,""), "")</f>
        <v>149.837745912272</v>
      </c>
      <c r="G72" s="11">
        <f ca="1">IFERROR(IF(DarlehenNichtBezahlt*DarlehenIstGut,ZinsBetrag,""), "")</f>
        <v>45.509554416593332</v>
      </c>
      <c r="H72" s="11">
        <f ca="1">IFERROR(IF(DarlehenNichtBezahlt*DarlehenIstGut,AbschlussSaldo,""), "")</f>
        <v>9779.5195813444388</v>
      </c>
    </row>
    <row r="73" spans="2:8" ht="20.100000000000001" customHeight="1">
      <c r="B73" s="9">
        <f ca="1">IFERROR(IF(DarlehenNichtBezahlt*DarlehenIstGut,ZahlungNummer,""), "")</f>
        <v>64</v>
      </c>
      <c r="C73" s="10">
        <f ca="1">IFERROR(IF(DarlehenNichtBezahlt*DarlehenIstGut,ZahlungsDatum,""), "")</f>
        <v>46097</v>
      </c>
      <c r="D73" s="11">
        <f ca="1">IFERROR(IF(DarlehenNichtBezahlt*DarlehenIstGut,DarlehensWert,""), "")</f>
        <v>9779.5195813444388</v>
      </c>
      <c r="E73" s="11">
        <f ca="1">IFERROR(IF(DarlehenNichtBezahlt*DarlehenIstGut,MonatlicheZahlung,""), "")</f>
        <v>195.34730032886532</v>
      </c>
      <c r="F73" s="11">
        <f ca="1">IFERROR(IF(DarlehenNichtBezahlt*DarlehenIstGut,Kapital,""), "")</f>
        <v>150.52450224770325</v>
      </c>
      <c r="G73" s="11">
        <f ca="1">IFERROR(IF(DarlehenNichtBezahlt*DarlehenIstGut,ZinsBetrag,""), "")</f>
        <v>44.822798081162084</v>
      </c>
      <c r="H73" s="11">
        <f ca="1">IFERROR(IF(DarlehenNichtBezahlt*DarlehenIstGut,AbschlussSaldo,""), "")</f>
        <v>9628.9950790967341</v>
      </c>
    </row>
    <row r="74" spans="2:8" ht="20.100000000000001" customHeight="1">
      <c r="B74" s="9">
        <f ca="1">IFERROR(IF(DarlehenNichtBezahlt*DarlehenIstGut,ZahlungNummer,""), "")</f>
        <v>65</v>
      </c>
      <c r="C74" s="10">
        <f ca="1">IFERROR(IF(DarlehenNichtBezahlt*DarlehenIstGut,ZahlungsDatum,""), "")</f>
        <v>46128</v>
      </c>
      <c r="D74" s="11">
        <f ca="1">IFERROR(IF(DarlehenNichtBezahlt*DarlehenIstGut,DarlehensWert,""), "")</f>
        <v>9628.9950790967341</v>
      </c>
      <c r="E74" s="11">
        <f ca="1">IFERROR(IF(DarlehenNichtBezahlt*DarlehenIstGut,MonatlicheZahlung,""), "")</f>
        <v>195.34730032886532</v>
      </c>
      <c r="F74" s="11">
        <f ca="1">IFERROR(IF(DarlehenNichtBezahlt*DarlehenIstGut,Kapital,""), "")</f>
        <v>151.21440621633857</v>
      </c>
      <c r="G74" s="11">
        <f ca="1">IFERROR(IF(DarlehenNichtBezahlt*DarlehenIstGut,ZinsBetrag,""), "")</f>
        <v>44.132894112526785</v>
      </c>
      <c r="H74" s="11">
        <f ca="1">IFERROR(IF(DarlehenNichtBezahlt*DarlehenIstGut,AbschlussSaldo,""), "")</f>
        <v>9477.7806728803916</v>
      </c>
    </row>
    <row r="75" spans="2:8" ht="20.100000000000001" customHeight="1">
      <c r="B75" s="9">
        <f ca="1">IFERROR(IF(DarlehenNichtBezahlt*DarlehenIstGut,ZahlungNummer,""), "")</f>
        <v>66</v>
      </c>
      <c r="C75" s="10">
        <f ca="1">IFERROR(IF(DarlehenNichtBezahlt*DarlehenIstGut,ZahlungsDatum,""), "")</f>
        <v>46158</v>
      </c>
      <c r="D75" s="11">
        <f ca="1">IFERROR(IF(DarlehenNichtBezahlt*DarlehenIstGut,DarlehensWert,""), "")</f>
        <v>9477.7806728803916</v>
      </c>
      <c r="E75" s="11">
        <f ca="1">IFERROR(IF(DarlehenNichtBezahlt*DarlehenIstGut,MonatlicheZahlung,""), "")</f>
        <v>195.34730032886532</v>
      </c>
      <c r="F75" s="11">
        <f ca="1">IFERROR(IF(DarlehenNichtBezahlt*DarlehenIstGut,Kapital,""), "")</f>
        <v>151.9074722448301</v>
      </c>
      <c r="G75" s="11">
        <f ca="1">IFERROR(IF(DarlehenNichtBezahlt*DarlehenIstGut,ZinsBetrag,""), "")</f>
        <v>43.439828084035227</v>
      </c>
      <c r="H75" s="11">
        <f ca="1">IFERROR(IF(DarlehenNichtBezahlt*DarlehenIstGut,AbschlussSaldo,""), "")</f>
        <v>9325.873200635564</v>
      </c>
    </row>
    <row r="76" spans="2:8" ht="20.100000000000001" customHeight="1">
      <c r="B76" s="9">
        <f ca="1">IFERROR(IF(DarlehenNichtBezahlt*DarlehenIstGut,ZahlungNummer,""), "")</f>
        <v>67</v>
      </c>
      <c r="C76" s="10">
        <f ca="1">IFERROR(IF(DarlehenNichtBezahlt*DarlehenIstGut,ZahlungsDatum,""), "")</f>
        <v>46189</v>
      </c>
      <c r="D76" s="11">
        <f ca="1">IFERROR(IF(DarlehenNichtBezahlt*DarlehenIstGut,DarlehensWert,""), "")</f>
        <v>9325.873200635564</v>
      </c>
      <c r="E76" s="11">
        <f ca="1">IFERROR(IF(DarlehenNichtBezahlt*DarlehenIstGut,MonatlicheZahlung,""), "")</f>
        <v>195.34730032886532</v>
      </c>
      <c r="F76" s="11">
        <f ca="1">IFERROR(IF(DarlehenNichtBezahlt*DarlehenIstGut,Kapital,""), "")</f>
        <v>152.60371482595224</v>
      </c>
      <c r="G76" s="11">
        <f ca="1">IFERROR(IF(DarlehenNichtBezahlt*DarlehenIstGut,ZinsBetrag,""), "")</f>
        <v>42.743585502913092</v>
      </c>
      <c r="H76" s="11">
        <f ca="1">IFERROR(IF(DarlehenNichtBezahlt*DarlehenIstGut,AbschlussSaldo,""), "")</f>
        <v>9173.2694858096111</v>
      </c>
    </row>
    <row r="77" spans="2:8" ht="20.100000000000001" customHeight="1">
      <c r="B77" s="9">
        <f ca="1">IFERROR(IF(DarlehenNichtBezahlt*DarlehenIstGut,ZahlungNummer,""), "")</f>
        <v>68</v>
      </c>
      <c r="C77" s="10">
        <f ca="1">IFERROR(IF(DarlehenNichtBezahlt*DarlehenIstGut,ZahlungsDatum,""), "")</f>
        <v>46219</v>
      </c>
      <c r="D77" s="11">
        <f ca="1">IFERROR(IF(DarlehenNichtBezahlt*DarlehenIstGut,DarlehensWert,""), "")</f>
        <v>9173.2694858096111</v>
      </c>
      <c r="E77" s="11">
        <f ca="1">IFERROR(IF(DarlehenNichtBezahlt*DarlehenIstGut,MonatlicheZahlung,""), "")</f>
        <v>195.34730032886532</v>
      </c>
      <c r="F77" s="11">
        <f ca="1">IFERROR(IF(DarlehenNichtBezahlt*DarlehenIstGut,Kapital,""), "")</f>
        <v>153.30314851890449</v>
      </c>
      <c r="G77" s="11">
        <f ca="1">IFERROR(IF(DarlehenNichtBezahlt*DarlehenIstGut,ZinsBetrag,""), "")</f>
        <v>42.044151809960809</v>
      </c>
      <c r="H77" s="11">
        <f ca="1">IFERROR(IF(DarlehenNichtBezahlt*DarlehenIstGut,AbschlussSaldo,""), "")</f>
        <v>9019.9663372907053</v>
      </c>
    </row>
    <row r="78" spans="2:8" ht="20.100000000000001" customHeight="1">
      <c r="B78" s="9">
        <f ca="1">IFERROR(IF(DarlehenNichtBezahlt*DarlehenIstGut,ZahlungNummer,""), "")</f>
        <v>69</v>
      </c>
      <c r="C78" s="10">
        <f ca="1">IFERROR(IF(DarlehenNichtBezahlt*DarlehenIstGut,ZahlungsDatum,""), "")</f>
        <v>46250</v>
      </c>
      <c r="D78" s="11">
        <f ca="1">IFERROR(IF(DarlehenNichtBezahlt*DarlehenIstGut,DarlehensWert,""), "")</f>
        <v>9019.9663372907053</v>
      </c>
      <c r="E78" s="11">
        <f ca="1">IFERROR(IF(DarlehenNichtBezahlt*DarlehenIstGut,MonatlicheZahlung,""), "")</f>
        <v>195.34730032886532</v>
      </c>
      <c r="F78" s="11">
        <f ca="1">IFERROR(IF(DarlehenNichtBezahlt*DarlehenIstGut,Kapital,""), "")</f>
        <v>154.00578794961615</v>
      </c>
      <c r="G78" s="11">
        <f ca="1">IFERROR(IF(DarlehenNichtBezahlt*DarlehenIstGut,ZinsBetrag,""), "")</f>
        <v>41.341512379249167</v>
      </c>
      <c r="H78" s="11">
        <f ca="1">IFERROR(IF(DarlehenNichtBezahlt*DarlehenIstGut,AbschlussSaldo,""), "")</f>
        <v>8865.9605493410818</v>
      </c>
    </row>
    <row r="79" spans="2:8" ht="20.100000000000001" customHeight="1">
      <c r="B79" s="9">
        <f ca="1">IFERROR(IF(DarlehenNichtBezahlt*DarlehenIstGut,ZahlungNummer,""), "")</f>
        <v>70</v>
      </c>
      <c r="C79" s="10">
        <f ca="1">IFERROR(IF(DarlehenNichtBezahlt*DarlehenIstGut,ZahlungsDatum,""), "")</f>
        <v>46281</v>
      </c>
      <c r="D79" s="11">
        <f ca="1">IFERROR(IF(DarlehenNichtBezahlt*DarlehenIstGut,DarlehensWert,""), "")</f>
        <v>8865.9605493410818</v>
      </c>
      <c r="E79" s="11">
        <f ca="1">IFERROR(IF(DarlehenNichtBezahlt*DarlehenIstGut,MonatlicheZahlung,""), "")</f>
        <v>195.34730032886532</v>
      </c>
      <c r="F79" s="11">
        <f ca="1">IFERROR(IF(DarlehenNichtBezahlt*DarlehenIstGut,Kapital,""), "")</f>
        <v>154.71164781105193</v>
      </c>
      <c r="G79" s="11">
        <f ca="1">IFERROR(IF(DarlehenNichtBezahlt*DarlehenIstGut,ZinsBetrag,""), "")</f>
        <v>40.635652517813426</v>
      </c>
      <c r="H79" s="11">
        <f ca="1">IFERROR(IF(DarlehenNichtBezahlt*DarlehenIstGut,AbschlussSaldo,""), "")</f>
        <v>8711.2489015300307</v>
      </c>
    </row>
    <row r="80" spans="2:8" ht="20.100000000000001" customHeight="1">
      <c r="B80" s="9">
        <f ca="1">IFERROR(IF(DarlehenNichtBezahlt*DarlehenIstGut,ZahlungNummer,""), "")</f>
        <v>71</v>
      </c>
      <c r="C80" s="10">
        <f ca="1">IFERROR(IF(DarlehenNichtBezahlt*DarlehenIstGut,ZahlungsDatum,""), "")</f>
        <v>46311</v>
      </c>
      <c r="D80" s="11">
        <f ca="1">IFERROR(IF(DarlehenNichtBezahlt*DarlehenIstGut,DarlehensWert,""), "")</f>
        <v>8711.2489015300307</v>
      </c>
      <c r="E80" s="11">
        <f ca="1">IFERROR(IF(DarlehenNichtBezahlt*DarlehenIstGut,MonatlicheZahlung,""), "")</f>
        <v>195.34730032886532</v>
      </c>
      <c r="F80" s="11">
        <f ca="1">IFERROR(IF(DarlehenNichtBezahlt*DarlehenIstGut,Kapital,""), "")</f>
        <v>155.42074286351922</v>
      </c>
      <c r="G80" s="11">
        <f ca="1">IFERROR(IF(DarlehenNichtBezahlt*DarlehenIstGut,ZinsBetrag,""), "")</f>
        <v>39.9265574653461</v>
      </c>
      <c r="H80" s="11">
        <f ca="1">IFERROR(IF(DarlehenNichtBezahlt*DarlehenIstGut,AbschlussSaldo,""), "")</f>
        <v>8555.828158666518</v>
      </c>
    </row>
    <row r="81" spans="2:8" ht="20.100000000000001" customHeight="1">
      <c r="B81" s="9">
        <f ca="1">IFERROR(IF(DarlehenNichtBezahlt*DarlehenIstGut,ZahlungNummer,""), "")</f>
        <v>72</v>
      </c>
      <c r="C81" s="10">
        <f ca="1">IFERROR(IF(DarlehenNichtBezahlt*DarlehenIstGut,ZahlungsDatum,""), "")</f>
        <v>46342</v>
      </c>
      <c r="D81" s="11">
        <f ca="1">IFERROR(IF(DarlehenNichtBezahlt*DarlehenIstGut,DarlehensWert,""), "")</f>
        <v>8555.828158666518</v>
      </c>
      <c r="E81" s="11">
        <f ca="1">IFERROR(IF(DarlehenNichtBezahlt*DarlehenIstGut,MonatlicheZahlung,""), "")</f>
        <v>195.34730032886532</v>
      </c>
      <c r="F81" s="11">
        <f ca="1">IFERROR(IF(DarlehenNichtBezahlt*DarlehenIstGut,Kapital,""), "")</f>
        <v>156.13308793497703</v>
      </c>
      <c r="G81" s="11">
        <f ca="1">IFERROR(IF(DarlehenNichtBezahlt*DarlehenIstGut,ZinsBetrag,""), "")</f>
        <v>39.214212393888296</v>
      </c>
      <c r="H81" s="11">
        <f ca="1">IFERROR(IF(DarlehenNichtBezahlt*DarlehenIstGut,AbschlussSaldo,""), "")</f>
        <v>8399.6950707315409</v>
      </c>
    </row>
    <row r="82" spans="2:8" ht="20.100000000000001" customHeight="1">
      <c r="B82" s="9">
        <f ca="1">IFERROR(IF(DarlehenNichtBezahlt*DarlehenIstGut,ZahlungNummer,""), "")</f>
        <v>73</v>
      </c>
      <c r="C82" s="10">
        <f ca="1">IFERROR(IF(DarlehenNichtBezahlt*DarlehenIstGut,ZahlungsDatum,""), "")</f>
        <v>46372</v>
      </c>
      <c r="D82" s="11">
        <f ca="1">IFERROR(IF(DarlehenNichtBezahlt*DarlehenIstGut,DarlehensWert,""), "")</f>
        <v>8399.6950707315409</v>
      </c>
      <c r="E82" s="11">
        <f ca="1">IFERROR(IF(DarlehenNichtBezahlt*DarlehenIstGut,MonatlicheZahlung,""), "")</f>
        <v>195.34730032886532</v>
      </c>
      <c r="F82" s="11">
        <f ca="1">IFERROR(IF(DarlehenNichtBezahlt*DarlehenIstGut,Kapital,""), "")</f>
        <v>156.84869792134566</v>
      </c>
      <c r="G82" s="11">
        <f ca="1">IFERROR(IF(DarlehenNichtBezahlt*DarlehenIstGut,ZinsBetrag,""), "")</f>
        <v>38.498602407519655</v>
      </c>
      <c r="H82" s="11">
        <f ca="1">IFERROR(IF(DarlehenNichtBezahlt*DarlehenIstGut,AbschlussSaldo,""), "")</f>
        <v>8242.8463728101924</v>
      </c>
    </row>
    <row r="83" spans="2:8" ht="20.100000000000001" customHeight="1">
      <c r="B83" s="9">
        <f ca="1">IFERROR(IF(DarlehenNichtBezahlt*DarlehenIstGut,ZahlungNummer,""), "")</f>
        <v>74</v>
      </c>
      <c r="C83" s="10">
        <f ca="1">IFERROR(IF(DarlehenNichtBezahlt*DarlehenIstGut,ZahlungsDatum,""), "")</f>
        <v>46403</v>
      </c>
      <c r="D83" s="11">
        <f ca="1">IFERROR(IF(DarlehenNichtBezahlt*DarlehenIstGut,DarlehensWert,""), "")</f>
        <v>8242.8463728101924</v>
      </c>
      <c r="E83" s="11">
        <f ca="1">IFERROR(IF(DarlehenNichtBezahlt*DarlehenIstGut,MonatlicheZahlung,""), "")</f>
        <v>195.34730032886532</v>
      </c>
      <c r="F83" s="11">
        <f ca="1">IFERROR(IF(DarlehenNichtBezahlt*DarlehenIstGut,Kapital,""), "")</f>
        <v>157.56758778681851</v>
      </c>
      <c r="G83" s="11">
        <f ca="1">IFERROR(IF(DarlehenNichtBezahlt*DarlehenIstGut,ZinsBetrag,""), "")</f>
        <v>37.77971254204683</v>
      </c>
      <c r="H83" s="11">
        <f ca="1">IFERROR(IF(DarlehenNichtBezahlt*DarlehenIstGut,AbschlussSaldo,""), "")</f>
        <v>8085.2787850233763</v>
      </c>
    </row>
    <row r="84" spans="2:8" ht="20.100000000000001" customHeight="1">
      <c r="B84" s="9">
        <f ca="1">IFERROR(IF(DarlehenNichtBezahlt*DarlehenIstGut,ZahlungNummer,""), "")</f>
        <v>75</v>
      </c>
      <c r="C84" s="10">
        <f ca="1">IFERROR(IF(DarlehenNichtBezahlt*DarlehenIstGut,ZahlungsDatum,""), "")</f>
        <v>46434</v>
      </c>
      <c r="D84" s="11">
        <f ca="1">IFERROR(IF(DarlehenNichtBezahlt*DarlehenIstGut,DarlehensWert,""), "")</f>
        <v>8085.2787850233763</v>
      </c>
      <c r="E84" s="11">
        <f ca="1">IFERROR(IF(DarlehenNichtBezahlt*DarlehenIstGut,MonatlicheZahlung,""), "")</f>
        <v>195.34730032886532</v>
      </c>
      <c r="F84" s="11">
        <f ca="1">IFERROR(IF(DarlehenNichtBezahlt*DarlehenIstGut,Kapital,""), "")</f>
        <v>158.28977256417477</v>
      </c>
      <c r="G84" s="11">
        <f ca="1">IFERROR(IF(DarlehenNichtBezahlt*DarlehenIstGut,ZinsBetrag,""), "")</f>
        <v>37.057527764690576</v>
      </c>
      <c r="H84" s="11">
        <f ca="1">IFERROR(IF(DarlehenNichtBezahlt*DarlehenIstGut,AbschlussSaldo,""), "")</f>
        <v>7926.9890124591984</v>
      </c>
    </row>
    <row r="85" spans="2:8" ht="20.100000000000001" customHeight="1">
      <c r="B85" s="9">
        <f ca="1">IFERROR(IF(DarlehenNichtBezahlt*DarlehenIstGut,ZahlungNummer,""), "")</f>
        <v>76</v>
      </c>
      <c r="C85" s="10">
        <f ca="1">IFERROR(IF(DarlehenNichtBezahlt*DarlehenIstGut,ZahlungsDatum,""), "")</f>
        <v>46462</v>
      </c>
      <c r="D85" s="11">
        <f ca="1">IFERROR(IF(DarlehenNichtBezahlt*DarlehenIstGut,DarlehensWert,""), "")</f>
        <v>7926.9890124591984</v>
      </c>
      <c r="E85" s="11">
        <f ca="1">IFERROR(IF(DarlehenNichtBezahlt*DarlehenIstGut,MonatlicheZahlung,""), "")</f>
        <v>195.34730032886532</v>
      </c>
      <c r="F85" s="11">
        <f ca="1">IFERROR(IF(DarlehenNichtBezahlt*DarlehenIstGut,Kapital,""), "")</f>
        <v>159.0152673550939</v>
      </c>
      <c r="G85" s="11">
        <f ca="1">IFERROR(IF(DarlehenNichtBezahlt*DarlehenIstGut,ZinsBetrag,""), "")</f>
        <v>36.33203297377144</v>
      </c>
      <c r="H85" s="11">
        <f ca="1">IFERROR(IF(DarlehenNichtBezahlt*DarlehenIstGut,AbschlussSaldo,""), "")</f>
        <v>7767.9737451041074</v>
      </c>
    </row>
    <row r="86" spans="2:8" ht="20.100000000000001" customHeight="1">
      <c r="B86" s="9">
        <f ca="1">IFERROR(IF(DarlehenNichtBezahlt*DarlehenIstGut,ZahlungNummer,""), "")</f>
        <v>77</v>
      </c>
      <c r="C86" s="10">
        <f ca="1">IFERROR(IF(DarlehenNichtBezahlt*DarlehenIstGut,ZahlungsDatum,""), "")</f>
        <v>46493</v>
      </c>
      <c r="D86" s="11">
        <f ca="1">IFERROR(IF(DarlehenNichtBezahlt*DarlehenIstGut,DarlehensWert,""), "")</f>
        <v>7767.9737451041074</v>
      </c>
      <c r="E86" s="11">
        <f ca="1">IFERROR(IF(DarlehenNichtBezahlt*DarlehenIstGut,MonatlicheZahlung,""), "")</f>
        <v>195.34730032886532</v>
      </c>
      <c r="F86" s="11">
        <f ca="1">IFERROR(IF(DarlehenNichtBezahlt*DarlehenIstGut,Kapital,""), "")</f>
        <v>159.74408733047142</v>
      </c>
      <c r="G86" s="11">
        <f ca="1">IFERROR(IF(DarlehenNichtBezahlt*DarlehenIstGut,ZinsBetrag,""), "")</f>
        <v>35.603212998393929</v>
      </c>
      <c r="H86" s="11">
        <f ca="1">IFERROR(IF(DarlehenNichtBezahlt*DarlehenIstGut,AbschlussSaldo,""), "")</f>
        <v>7608.2296577736306</v>
      </c>
    </row>
    <row r="87" spans="2:8" ht="20.100000000000001" customHeight="1">
      <c r="B87" s="9">
        <f ca="1">IFERROR(IF(DarlehenNichtBezahlt*DarlehenIstGut,ZahlungNummer,""), "")</f>
        <v>78</v>
      </c>
      <c r="C87" s="10">
        <f ca="1">IFERROR(IF(DarlehenNichtBezahlt*DarlehenIstGut,ZahlungsDatum,""), "")</f>
        <v>46523</v>
      </c>
      <c r="D87" s="11">
        <f ca="1">IFERROR(IF(DarlehenNichtBezahlt*DarlehenIstGut,DarlehensWert,""), "")</f>
        <v>7608.2296577736306</v>
      </c>
      <c r="E87" s="11">
        <f ca="1">IFERROR(IF(DarlehenNichtBezahlt*DarlehenIstGut,MonatlicheZahlung,""), "")</f>
        <v>195.34730032886532</v>
      </c>
      <c r="F87" s="11">
        <f ca="1">IFERROR(IF(DarlehenNichtBezahlt*DarlehenIstGut,Kapital,""), "")</f>
        <v>160.47624773073608</v>
      </c>
      <c r="G87" s="11">
        <f ca="1">IFERROR(IF(DarlehenNichtBezahlt*DarlehenIstGut,ZinsBetrag,""), "")</f>
        <v>34.871052598129268</v>
      </c>
      <c r="H87" s="11">
        <f ca="1">IFERROR(IF(DarlehenNichtBezahlt*DarlehenIstGut,AbschlussSaldo,""), "")</f>
        <v>7447.7534100428966</v>
      </c>
    </row>
    <row r="88" spans="2:8" ht="20.100000000000001" customHeight="1">
      <c r="B88" s="9">
        <f ca="1">IFERROR(IF(DarlehenNichtBezahlt*DarlehenIstGut,ZahlungNummer,""), "")</f>
        <v>79</v>
      </c>
      <c r="C88" s="10">
        <f ca="1">IFERROR(IF(DarlehenNichtBezahlt*DarlehenIstGut,ZahlungsDatum,""), "")</f>
        <v>46554</v>
      </c>
      <c r="D88" s="11">
        <f ca="1">IFERROR(IF(DarlehenNichtBezahlt*DarlehenIstGut,DarlehensWert,""), "")</f>
        <v>7447.7534100428966</v>
      </c>
      <c r="E88" s="11">
        <f ca="1">IFERROR(IF(DarlehenNichtBezahlt*DarlehenIstGut,MonatlicheZahlung,""), "")</f>
        <v>195.34730032886532</v>
      </c>
      <c r="F88" s="11">
        <f ca="1">IFERROR(IF(DarlehenNichtBezahlt*DarlehenIstGut,Kapital,""), "")</f>
        <v>161.21176386616858</v>
      </c>
      <c r="G88" s="11">
        <f ca="1">IFERROR(IF(DarlehenNichtBezahlt*DarlehenIstGut,ZinsBetrag,""), "")</f>
        <v>34.135536462696727</v>
      </c>
      <c r="H88" s="11">
        <f ca="1">IFERROR(IF(DarlehenNichtBezahlt*DarlehenIstGut,AbschlussSaldo,""), "")</f>
        <v>7286.5416461767345</v>
      </c>
    </row>
    <row r="89" spans="2:8" ht="20.100000000000001" customHeight="1">
      <c r="B89" s="9">
        <f ca="1">IFERROR(IF(DarlehenNichtBezahlt*DarlehenIstGut,ZahlungNummer,""), "")</f>
        <v>80</v>
      </c>
      <c r="C89" s="10">
        <f ca="1">IFERROR(IF(DarlehenNichtBezahlt*DarlehenIstGut,ZahlungsDatum,""), "")</f>
        <v>46584</v>
      </c>
      <c r="D89" s="11">
        <f ca="1">IFERROR(IF(DarlehenNichtBezahlt*DarlehenIstGut,DarlehensWert,""), "")</f>
        <v>7286.5416461767345</v>
      </c>
      <c r="E89" s="11">
        <f ca="1">IFERROR(IF(DarlehenNichtBezahlt*DarlehenIstGut,MonatlicheZahlung,""), "")</f>
        <v>195.34730032886532</v>
      </c>
      <c r="F89" s="11">
        <f ca="1">IFERROR(IF(DarlehenNichtBezahlt*DarlehenIstGut,Kapital,""), "")</f>
        <v>161.95065111722187</v>
      </c>
      <c r="G89" s="11">
        <f ca="1">IFERROR(IF(DarlehenNichtBezahlt*DarlehenIstGut,ZinsBetrag,""), "")</f>
        <v>33.396649211643449</v>
      </c>
      <c r="H89" s="11">
        <f ca="1">IFERROR(IF(DarlehenNichtBezahlt*DarlehenIstGut,AbschlussSaldo,""), "")</f>
        <v>7124.5909950595087</v>
      </c>
    </row>
    <row r="90" spans="2:8" ht="20.100000000000001" customHeight="1">
      <c r="B90" s="9">
        <f ca="1">IFERROR(IF(DarlehenNichtBezahlt*DarlehenIstGut,ZahlungNummer,""), "")</f>
        <v>81</v>
      </c>
      <c r="C90" s="10">
        <f ca="1">IFERROR(IF(DarlehenNichtBezahlt*DarlehenIstGut,ZahlungsDatum,""), "")</f>
        <v>46615</v>
      </c>
      <c r="D90" s="11">
        <f ca="1">IFERROR(IF(DarlehenNichtBezahlt*DarlehenIstGut,DarlehensWert,""), "")</f>
        <v>7124.5909950595087</v>
      </c>
      <c r="E90" s="11">
        <f ca="1">IFERROR(IF(DarlehenNichtBezahlt*DarlehenIstGut,MonatlicheZahlung,""), "")</f>
        <v>195.34730032886532</v>
      </c>
      <c r="F90" s="11">
        <f ca="1">IFERROR(IF(DarlehenNichtBezahlt*DarlehenIstGut,Kapital,""), "")</f>
        <v>162.69292493484247</v>
      </c>
      <c r="G90" s="11">
        <f ca="1">IFERROR(IF(DarlehenNichtBezahlt*DarlehenIstGut,ZinsBetrag,""), "")</f>
        <v>32.654375394022857</v>
      </c>
      <c r="H90" s="11">
        <f ca="1">IFERROR(IF(DarlehenNichtBezahlt*DarlehenIstGut,AbschlussSaldo,""), "")</f>
        <v>6961.8980701246583</v>
      </c>
    </row>
    <row r="91" spans="2:8" ht="20.100000000000001" customHeight="1">
      <c r="B91" s="9">
        <f ca="1">IFERROR(IF(DarlehenNichtBezahlt*DarlehenIstGut,ZahlungNummer,""), "")</f>
        <v>82</v>
      </c>
      <c r="C91" s="10">
        <f ca="1">IFERROR(IF(DarlehenNichtBezahlt*DarlehenIstGut,ZahlungsDatum,""), "")</f>
        <v>46646</v>
      </c>
      <c r="D91" s="11">
        <f ca="1">IFERROR(IF(DarlehenNichtBezahlt*DarlehenIstGut,DarlehensWert,""), "")</f>
        <v>6961.8980701246583</v>
      </c>
      <c r="E91" s="11">
        <f ca="1">IFERROR(IF(DarlehenNichtBezahlt*DarlehenIstGut,MonatlicheZahlung,""), "")</f>
        <v>195.34730032886532</v>
      </c>
      <c r="F91" s="11">
        <f ca="1">IFERROR(IF(DarlehenNichtBezahlt*DarlehenIstGut,Kapital,""), "")</f>
        <v>163.43860084079387</v>
      </c>
      <c r="G91" s="11">
        <f ca="1">IFERROR(IF(DarlehenNichtBezahlt*DarlehenIstGut,ZinsBetrag,""), "")</f>
        <v>31.908699488071491</v>
      </c>
      <c r="H91" s="11">
        <f ca="1">IFERROR(IF(DarlehenNichtBezahlt*DarlehenIstGut,AbschlussSaldo,""), "")</f>
        <v>6798.4594692838691</v>
      </c>
    </row>
    <row r="92" spans="2:8" ht="20.100000000000001" customHeight="1">
      <c r="B92" s="9">
        <f ca="1">IFERROR(IF(DarlehenNichtBezahlt*DarlehenIstGut,ZahlungNummer,""), "")</f>
        <v>83</v>
      </c>
      <c r="C92" s="10">
        <f ca="1">IFERROR(IF(DarlehenNichtBezahlt*DarlehenIstGut,ZahlungsDatum,""), "")</f>
        <v>46676</v>
      </c>
      <c r="D92" s="11">
        <f ca="1">IFERROR(IF(DarlehenNichtBezahlt*DarlehenIstGut,DarlehensWert,""), "")</f>
        <v>6798.4594692838691</v>
      </c>
      <c r="E92" s="11">
        <f ca="1">IFERROR(IF(DarlehenNichtBezahlt*DarlehenIstGut,MonatlicheZahlung,""), "")</f>
        <v>195.34730032886532</v>
      </c>
      <c r="F92" s="11">
        <f ca="1">IFERROR(IF(DarlehenNichtBezahlt*DarlehenIstGut,Kapital,""), "")</f>
        <v>164.1876944279808</v>
      </c>
      <c r="G92" s="11">
        <f ca="1">IFERROR(IF(DarlehenNichtBezahlt*DarlehenIstGut,ZinsBetrag,""), "")</f>
        <v>31.159605900884518</v>
      </c>
      <c r="H92" s="11">
        <f ca="1">IFERROR(IF(DarlehenNichtBezahlt*DarlehenIstGut,AbschlussSaldo,""), "")</f>
        <v>6634.2717748558898</v>
      </c>
    </row>
    <row r="93" spans="2:8" ht="20.100000000000001" customHeight="1">
      <c r="B93" s="9">
        <f ca="1">IFERROR(IF(DarlehenNichtBezahlt*DarlehenIstGut,ZahlungNummer,""), "")</f>
        <v>84</v>
      </c>
      <c r="C93" s="10">
        <f ca="1">IFERROR(IF(DarlehenNichtBezahlt*DarlehenIstGut,ZahlungsDatum,""), "")</f>
        <v>46707</v>
      </c>
      <c r="D93" s="11">
        <f ca="1">IFERROR(IF(DarlehenNichtBezahlt*DarlehenIstGut,DarlehensWert,""), "")</f>
        <v>6634.2717748558898</v>
      </c>
      <c r="E93" s="11">
        <f ca="1">IFERROR(IF(DarlehenNichtBezahlt*DarlehenIstGut,MonatlicheZahlung,""), "")</f>
        <v>195.34730032886532</v>
      </c>
      <c r="F93" s="11">
        <f ca="1">IFERROR(IF(DarlehenNichtBezahlt*DarlehenIstGut,Kapital,""), "")</f>
        <v>164.94022136077572</v>
      </c>
      <c r="G93" s="11">
        <f ca="1">IFERROR(IF(DarlehenNichtBezahlt*DarlehenIstGut,ZinsBetrag,""), "")</f>
        <v>30.407078968089603</v>
      </c>
      <c r="H93" s="11">
        <f ca="1">IFERROR(IF(DarlehenNichtBezahlt*DarlehenIstGut,AbschlussSaldo,""), "")</f>
        <v>6469.3315534951107</v>
      </c>
    </row>
    <row r="94" spans="2:8" ht="20.100000000000001" customHeight="1">
      <c r="B94" s="9">
        <f ca="1">IFERROR(IF(DarlehenNichtBezahlt*DarlehenIstGut,ZahlungNummer,""), "")</f>
        <v>85</v>
      </c>
      <c r="C94" s="10">
        <f ca="1">IFERROR(IF(DarlehenNichtBezahlt*DarlehenIstGut,ZahlungsDatum,""), "")</f>
        <v>46737</v>
      </c>
      <c r="D94" s="11">
        <f ca="1">IFERROR(IF(DarlehenNichtBezahlt*DarlehenIstGut,DarlehensWert,""), "")</f>
        <v>6469.3315534951107</v>
      </c>
      <c r="E94" s="11">
        <f ca="1">IFERROR(IF(DarlehenNichtBezahlt*DarlehenIstGut,MonatlicheZahlung,""), "")</f>
        <v>195.34730032886532</v>
      </c>
      <c r="F94" s="11">
        <f ca="1">IFERROR(IF(DarlehenNichtBezahlt*DarlehenIstGut,Kapital,""), "")</f>
        <v>165.69619737534595</v>
      </c>
      <c r="G94" s="11">
        <f ca="1">IFERROR(IF(DarlehenNichtBezahlt*DarlehenIstGut,ZinsBetrag,""), "")</f>
        <v>29.651102953519388</v>
      </c>
      <c r="H94" s="11">
        <f ca="1">IFERROR(IF(DarlehenNichtBezahlt*DarlehenIstGut,AbschlussSaldo,""), "")</f>
        <v>6303.6353561197648</v>
      </c>
    </row>
    <row r="95" spans="2:8" ht="20.100000000000001" customHeight="1">
      <c r="B95" s="9">
        <f ca="1">IFERROR(IF(DarlehenNichtBezahlt*DarlehenIstGut,ZahlungNummer,""), "")</f>
        <v>86</v>
      </c>
      <c r="C95" s="10">
        <f ca="1">IFERROR(IF(DarlehenNichtBezahlt*DarlehenIstGut,ZahlungsDatum,""), "")</f>
        <v>46768</v>
      </c>
      <c r="D95" s="11">
        <f ca="1">IFERROR(IF(DarlehenNichtBezahlt*DarlehenIstGut,DarlehensWert,""), "")</f>
        <v>6303.6353561197648</v>
      </c>
      <c r="E95" s="11">
        <f ca="1">IFERROR(IF(DarlehenNichtBezahlt*DarlehenIstGut,MonatlicheZahlung,""), "")</f>
        <v>195.34730032886532</v>
      </c>
      <c r="F95" s="11">
        <f ca="1">IFERROR(IF(DarlehenNichtBezahlt*DarlehenIstGut,Kapital,""), "")</f>
        <v>166.45563827998296</v>
      </c>
      <c r="G95" s="11">
        <f ca="1">IFERROR(IF(DarlehenNichtBezahlt*DarlehenIstGut,ZinsBetrag,""), "")</f>
        <v>28.891662048882385</v>
      </c>
      <c r="H95" s="11">
        <f ca="1">IFERROR(IF(DarlehenNichtBezahlt*DarlehenIstGut,AbschlussSaldo,""), "")</f>
        <v>6137.1797178397792</v>
      </c>
    </row>
    <row r="96" spans="2:8" ht="20.100000000000001" customHeight="1">
      <c r="B96" s="9">
        <f ca="1">IFERROR(IF(DarlehenNichtBezahlt*DarlehenIstGut,ZahlungNummer,""), "")</f>
        <v>87</v>
      </c>
      <c r="C96" s="10">
        <f ca="1">IFERROR(IF(DarlehenNichtBezahlt*DarlehenIstGut,ZahlungsDatum,""), "")</f>
        <v>46799</v>
      </c>
      <c r="D96" s="11">
        <f ca="1">IFERROR(IF(DarlehenNichtBezahlt*DarlehenIstGut,DarlehensWert,""), "")</f>
        <v>6137.1797178397792</v>
      </c>
      <c r="E96" s="11">
        <f ca="1">IFERROR(IF(DarlehenNichtBezahlt*DarlehenIstGut,MonatlicheZahlung,""), "")</f>
        <v>195.34730032886532</v>
      </c>
      <c r="F96" s="11">
        <f ca="1">IFERROR(IF(DarlehenNichtBezahlt*DarlehenIstGut,Kapital,""), "")</f>
        <v>167.21855995543285</v>
      </c>
      <c r="G96" s="11">
        <f ca="1">IFERROR(IF(DarlehenNichtBezahlt*DarlehenIstGut,ZinsBetrag,""), "")</f>
        <v>28.128740373432461</v>
      </c>
      <c r="H96" s="11">
        <f ca="1">IFERROR(IF(DarlehenNichtBezahlt*DarlehenIstGut,AbschlussSaldo,""), "")</f>
        <v>5969.9611578843469</v>
      </c>
    </row>
    <row r="97" spans="2:8" ht="20.100000000000001" customHeight="1">
      <c r="B97" s="9">
        <f ca="1">IFERROR(IF(DarlehenNichtBezahlt*DarlehenIstGut,ZahlungNummer,""), "")</f>
        <v>88</v>
      </c>
      <c r="C97" s="10">
        <f ca="1">IFERROR(IF(DarlehenNichtBezahlt*DarlehenIstGut,ZahlungsDatum,""), "")</f>
        <v>46828</v>
      </c>
      <c r="D97" s="11">
        <f ca="1">IFERROR(IF(DarlehenNichtBezahlt*DarlehenIstGut,DarlehensWert,""), "")</f>
        <v>5969.9611578843469</v>
      </c>
      <c r="E97" s="11">
        <f ca="1">IFERROR(IF(DarlehenNichtBezahlt*DarlehenIstGut,MonatlicheZahlung,""), "")</f>
        <v>195.34730032886532</v>
      </c>
      <c r="F97" s="11">
        <f ca="1">IFERROR(IF(DarlehenNichtBezahlt*DarlehenIstGut,Kapital,""), "")</f>
        <v>167.98497835522861</v>
      </c>
      <c r="G97" s="11">
        <f ca="1">IFERROR(IF(DarlehenNichtBezahlt*DarlehenIstGut,ZinsBetrag,""), "")</f>
        <v>27.362321973636725</v>
      </c>
      <c r="H97" s="11">
        <f ca="1">IFERROR(IF(DarlehenNichtBezahlt*DarlehenIstGut,AbschlussSaldo,""), "")</f>
        <v>5801.9761795291161</v>
      </c>
    </row>
    <row r="98" spans="2:8" ht="20.100000000000001" customHeight="1">
      <c r="B98" s="9">
        <f ca="1">IFERROR(IF(DarlehenNichtBezahlt*DarlehenIstGut,ZahlungNummer,""), "")</f>
        <v>89</v>
      </c>
      <c r="C98" s="10">
        <f ca="1">IFERROR(IF(DarlehenNichtBezahlt*DarlehenIstGut,ZahlungsDatum,""), "")</f>
        <v>46859</v>
      </c>
      <c r="D98" s="11">
        <f ca="1">IFERROR(IF(DarlehenNichtBezahlt*DarlehenIstGut,DarlehensWert,""), "")</f>
        <v>5801.9761795291161</v>
      </c>
      <c r="E98" s="11">
        <f ca="1">IFERROR(IF(DarlehenNichtBezahlt*DarlehenIstGut,MonatlicheZahlung,""), "")</f>
        <v>195.34730032886532</v>
      </c>
      <c r="F98" s="11">
        <f ca="1">IFERROR(IF(DarlehenNichtBezahlt*DarlehenIstGut,Kapital,""), "")</f>
        <v>168.75490950602341</v>
      </c>
      <c r="G98" s="11">
        <f ca="1">IFERROR(IF(DarlehenNichtBezahlt*DarlehenIstGut,ZinsBetrag,""), "")</f>
        <v>26.592390822841924</v>
      </c>
      <c r="H98" s="11">
        <f ca="1">IFERROR(IF(DarlehenNichtBezahlt*DarlehenIstGut,AbschlussSaldo,""), "")</f>
        <v>5633.2212700230994</v>
      </c>
    </row>
    <row r="99" spans="2:8" ht="20.100000000000001" customHeight="1">
      <c r="B99" s="9">
        <f ca="1">IFERROR(IF(DarlehenNichtBezahlt*DarlehenIstGut,ZahlungNummer,""), "")</f>
        <v>90</v>
      </c>
      <c r="C99" s="10">
        <f ca="1">IFERROR(IF(DarlehenNichtBezahlt*DarlehenIstGut,ZahlungsDatum,""), "")</f>
        <v>46889</v>
      </c>
      <c r="D99" s="11">
        <f ca="1">IFERROR(IF(DarlehenNichtBezahlt*DarlehenIstGut,DarlehensWert,""), "")</f>
        <v>5633.2212700230994</v>
      </c>
      <c r="E99" s="11">
        <f ca="1">IFERROR(IF(DarlehenNichtBezahlt*DarlehenIstGut,MonatlicheZahlung,""), "")</f>
        <v>195.34730032886532</v>
      </c>
      <c r="F99" s="11">
        <f ca="1">IFERROR(IF(DarlehenNichtBezahlt*DarlehenIstGut,Kapital,""), "")</f>
        <v>169.52836950792602</v>
      </c>
      <c r="G99" s="11">
        <f ca="1">IFERROR(IF(DarlehenNichtBezahlt*DarlehenIstGut,ZinsBetrag,""), "")</f>
        <v>25.818930820939322</v>
      </c>
      <c r="H99" s="11">
        <f ca="1">IFERROR(IF(DarlehenNichtBezahlt*DarlehenIstGut,AbschlussSaldo,""), "")</f>
        <v>5463.6929005151724</v>
      </c>
    </row>
    <row r="100" spans="2:8" ht="20.100000000000001" customHeight="1">
      <c r="B100" s="9">
        <f ca="1">IFERROR(IF(DarlehenNichtBezahlt*DarlehenIstGut,ZahlungNummer,""), "")</f>
        <v>91</v>
      </c>
      <c r="C100" s="10">
        <f ca="1">IFERROR(IF(DarlehenNichtBezahlt*DarlehenIstGut,ZahlungsDatum,""), "")</f>
        <v>46920</v>
      </c>
      <c r="D100" s="11">
        <f ca="1">IFERROR(IF(DarlehenNichtBezahlt*DarlehenIstGut,DarlehensWert,""), "")</f>
        <v>5463.6929005151724</v>
      </c>
      <c r="E100" s="11">
        <f ca="1">IFERROR(IF(DarlehenNichtBezahlt*DarlehenIstGut,MonatlicheZahlung,""), "")</f>
        <v>195.34730032886532</v>
      </c>
      <c r="F100" s="11">
        <f ca="1">IFERROR(IF(DarlehenNichtBezahlt*DarlehenIstGut,Kapital,""), "")</f>
        <v>170.30537453483734</v>
      </c>
      <c r="G100" s="11">
        <f ca="1">IFERROR(IF(DarlehenNichtBezahlt*DarlehenIstGut,ZinsBetrag,""), "")</f>
        <v>25.041925794027993</v>
      </c>
      <c r="H100" s="11">
        <f ca="1">IFERROR(IF(DarlehenNichtBezahlt*DarlehenIstGut,AbschlussSaldo,""), "")</f>
        <v>5293.3875259803317</v>
      </c>
    </row>
    <row r="101" spans="2:8" ht="20.100000000000001" customHeight="1">
      <c r="B101" s="9">
        <f ca="1">IFERROR(IF(DarlehenNichtBezahlt*DarlehenIstGut,ZahlungNummer,""), "")</f>
        <v>92</v>
      </c>
      <c r="C101" s="10">
        <f ca="1">IFERROR(IF(DarlehenNichtBezahlt*DarlehenIstGut,ZahlungsDatum,""), "")</f>
        <v>46950</v>
      </c>
      <c r="D101" s="11">
        <f ca="1">IFERROR(IF(DarlehenNichtBezahlt*DarlehenIstGut,DarlehensWert,""), "")</f>
        <v>5293.3875259803317</v>
      </c>
      <c r="E101" s="11">
        <f ca="1">IFERROR(IF(DarlehenNichtBezahlt*DarlehenIstGut,MonatlicheZahlung,""), "")</f>
        <v>195.34730032886532</v>
      </c>
      <c r="F101" s="11">
        <f ca="1">IFERROR(IF(DarlehenNichtBezahlt*DarlehenIstGut,Kapital,""), "")</f>
        <v>171.08594083478869</v>
      </c>
      <c r="G101" s="11">
        <f ca="1">IFERROR(IF(DarlehenNichtBezahlt*DarlehenIstGut,ZinsBetrag,""), "")</f>
        <v>24.261359494076654</v>
      </c>
      <c r="H101" s="11">
        <f ca="1">IFERROR(IF(DarlehenNichtBezahlt*DarlehenIstGut,AbschlussSaldo,""), "")</f>
        <v>5122.3015851455457</v>
      </c>
    </row>
    <row r="102" spans="2:8" ht="20.100000000000001" customHeight="1">
      <c r="B102" s="9">
        <f ca="1">IFERROR(IF(DarlehenNichtBezahlt*DarlehenIstGut,ZahlungNummer,""), "")</f>
        <v>93</v>
      </c>
      <c r="C102" s="10">
        <f ca="1">IFERROR(IF(DarlehenNichtBezahlt*DarlehenIstGut,ZahlungsDatum,""), "")</f>
        <v>46981</v>
      </c>
      <c r="D102" s="11">
        <f ca="1">IFERROR(IF(DarlehenNichtBezahlt*DarlehenIstGut,DarlehensWert,""), "")</f>
        <v>5122.3015851455457</v>
      </c>
      <c r="E102" s="11">
        <f ca="1">IFERROR(IF(DarlehenNichtBezahlt*DarlehenIstGut,MonatlicheZahlung,""), "")</f>
        <v>195.34730032886532</v>
      </c>
      <c r="F102" s="11">
        <f ca="1">IFERROR(IF(DarlehenNichtBezahlt*DarlehenIstGut,Kapital,""), "")</f>
        <v>171.87008473028146</v>
      </c>
      <c r="G102" s="11">
        <f ca="1">IFERROR(IF(DarlehenNichtBezahlt*DarlehenIstGut,ZinsBetrag,""), "")</f>
        <v>23.477215598583868</v>
      </c>
      <c r="H102" s="11">
        <f ca="1">IFERROR(IF(DarlehenNichtBezahlt*DarlehenIstGut,AbschlussSaldo,""), "")</f>
        <v>4950.4315004152631</v>
      </c>
    </row>
    <row r="103" spans="2:8" ht="20.100000000000001" customHeight="1">
      <c r="B103" s="9">
        <f ca="1">IFERROR(IF(DarlehenNichtBezahlt*DarlehenIstGut,ZahlungNummer,""), "")</f>
        <v>94</v>
      </c>
      <c r="C103" s="10">
        <f ca="1">IFERROR(IF(DarlehenNichtBezahlt*DarlehenIstGut,ZahlungsDatum,""), "")</f>
        <v>47012</v>
      </c>
      <c r="D103" s="11">
        <f ca="1">IFERROR(IF(DarlehenNichtBezahlt*DarlehenIstGut,DarlehensWert,""), "")</f>
        <v>4950.4315004152631</v>
      </c>
      <c r="E103" s="11">
        <f ca="1">IFERROR(IF(DarlehenNichtBezahlt*DarlehenIstGut,MonatlicheZahlung,""), "")</f>
        <v>195.34730032886532</v>
      </c>
      <c r="F103" s="11">
        <f ca="1">IFERROR(IF(DarlehenNichtBezahlt*DarlehenIstGut,Kapital,""), "")</f>
        <v>172.65782261862859</v>
      </c>
      <c r="G103" s="11">
        <f ca="1">IFERROR(IF(DarlehenNichtBezahlt*DarlehenIstGut,ZinsBetrag,""), "")</f>
        <v>22.689477710236748</v>
      </c>
      <c r="H103" s="11">
        <f ca="1">IFERROR(IF(DarlehenNichtBezahlt*DarlehenIstGut,AbschlussSaldo,""), "")</f>
        <v>4777.7736777966347</v>
      </c>
    </row>
    <row r="104" spans="2:8" ht="20.100000000000001" customHeight="1">
      <c r="B104" s="9">
        <f ca="1">IFERROR(IF(DarlehenNichtBezahlt*DarlehenIstGut,ZahlungNummer,""), "")</f>
        <v>95</v>
      </c>
      <c r="C104" s="10">
        <f ca="1">IFERROR(IF(DarlehenNichtBezahlt*DarlehenIstGut,ZahlungsDatum,""), "")</f>
        <v>47042</v>
      </c>
      <c r="D104" s="11">
        <f ca="1">IFERROR(IF(DarlehenNichtBezahlt*DarlehenIstGut,DarlehensWert,""), "")</f>
        <v>4777.7736777966347</v>
      </c>
      <c r="E104" s="11">
        <f ca="1">IFERROR(IF(DarlehenNichtBezahlt*DarlehenIstGut,MonatlicheZahlung,""), "")</f>
        <v>195.34730032886532</v>
      </c>
      <c r="F104" s="11">
        <f ca="1">IFERROR(IF(DarlehenNichtBezahlt*DarlehenIstGut,Kapital,""), "")</f>
        <v>173.44917097229728</v>
      </c>
      <c r="G104" s="11">
        <f ca="1">IFERROR(IF(DarlehenNichtBezahlt*DarlehenIstGut,ZinsBetrag,""), "")</f>
        <v>21.898129356568038</v>
      </c>
      <c r="H104" s="11">
        <f ca="1">IFERROR(IF(DarlehenNichtBezahlt*DarlehenIstGut,AbschlussSaldo,""), "")</f>
        <v>4604.3245068243377</v>
      </c>
    </row>
    <row r="105" spans="2:8" ht="20.100000000000001" customHeight="1">
      <c r="B105" s="9">
        <f ca="1">IFERROR(IF(DarlehenNichtBezahlt*DarlehenIstGut,ZahlungNummer,""), "")</f>
        <v>96</v>
      </c>
      <c r="C105" s="10">
        <f ca="1">IFERROR(IF(DarlehenNichtBezahlt*DarlehenIstGut,ZahlungsDatum,""), "")</f>
        <v>47073</v>
      </c>
      <c r="D105" s="11">
        <f ca="1">IFERROR(IF(DarlehenNichtBezahlt*DarlehenIstGut,DarlehensWert,""), "")</f>
        <v>4604.3245068243377</v>
      </c>
      <c r="E105" s="11">
        <f ca="1">IFERROR(IF(DarlehenNichtBezahlt*DarlehenIstGut,MonatlicheZahlung,""), "")</f>
        <v>195.34730032886532</v>
      </c>
      <c r="F105" s="11">
        <f ca="1">IFERROR(IF(DarlehenNichtBezahlt*DarlehenIstGut,Kapital,""), "")</f>
        <v>174.24414633925366</v>
      </c>
      <c r="G105" s="11">
        <f ca="1">IFERROR(IF(DarlehenNichtBezahlt*DarlehenIstGut,ZinsBetrag,""), "")</f>
        <v>21.103153989611673</v>
      </c>
      <c r="H105" s="11">
        <f ca="1">IFERROR(IF(DarlehenNichtBezahlt*DarlehenIstGut,AbschlussSaldo,""), "")</f>
        <v>4430.0803604850771</v>
      </c>
    </row>
    <row r="106" spans="2:8" ht="20.100000000000001" customHeight="1">
      <c r="B106" s="9">
        <f ca="1">IFERROR(IF(DarlehenNichtBezahlt*DarlehenIstGut,ZahlungNummer,""), "")</f>
        <v>97</v>
      </c>
      <c r="C106" s="10">
        <f ca="1">IFERROR(IF(DarlehenNichtBezahlt*DarlehenIstGut,ZahlungsDatum,""), "")</f>
        <v>47103</v>
      </c>
      <c r="D106" s="11">
        <f ca="1">IFERROR(IF(DarlehenNichtBezahlt*DarlehenIstGut,DarlehensWert,""), "")</f>
        <v>4430.0803604850771</v>
      </c>
      <c r="E106" s="11">
        <f ca="1">IFERROR(IF(DarlehenNichtBezahlt*DarlehenIstGut,MonatlicheZahlung,""), "")</f>
        <v>195.34730032886532</v>
      </c>
      <c r="F106" s="11">
        <f ca="1">IFERROR(IF(DarlehenNichtBezahlt*DarlehenIstGut,Kapital,""), "")</f>
        <v>175.04276534330859</v>
      </c>
      <c r="G106" s="11">
        <f ca="1">IFERROR(IF(DarlehenNichtBezahlt*DarlehenIstGut,ZinsBetrag,""), "")</f>
        <v>20.304534985556757</v>
      </c>
      <c r="H106" s="11">
        <f ca="1">IFERROR(IF(DarlehenNichtBezahlt*DarlehenIstGut,AbschlussSaldo,""), "")</f>
        <v>4255.0375951417664</v>
      </c>
    </row>
    <row r="107" spans="2:8" ht="20.100000000000001" customHeight="1">
      <c r="B107" s="9">
        <f ca="1">IFERROR(IF(DarlehenNichtBezahlt*DarlehenIstGut,ZahlungNummer,""), "")</f>
        <v>98</v>
      </c>
      <c r="C107" s="10">
        <f ca="1">IFERROR(IF(DarlehenNichtBezahlt*DarlehenIstGut,ZahlungsDatum,""), "")</f>
        <v>47134</v>
      </c>
      <c r="D107" s="11">
        <f ca="1">IFERROR(IF(DarlehenNichtBezahlt*DarlehenIstGut,DarlehensWert,""), "")</f>
        <v>4255.0375951417664</v>
      </c>
      <c r="E107" s="11">
        <f ca="1">IFERROR(IF(DarlehenNichtBezahlt*DarlehenIstGut,MonatlicheZahlung,""), "")</f>
        <v>195.34730032886532</v>
      </c>
      <c r="F107" s="11">
        <f ca="1">IFERROR(IF(DarlehenNichtBezahlt*DarlehenIstGut,Kapital,""), "")</f>
        <v>175.84504468446539</v>
      </c>
      <c r="G107" s="11">
        <f ca="1">IFERROR(IF(DarlehenNichtBezahlt*DarlehenIstGut,ZinsBetrag,""), "")</f>
        <v>19.502255644399931</v>
      </c>
      <c r="H107" s="11">
        <f ca="1">IFERROR(IF(DarlehenNichtBezahlt*DarlehenIstGut,AbschlussSaldo,""), "")</f>
        <v>4079.192550457301</v>
      </c>
    </row>
    <row r="108" spans="2:8" ht="20.100000000000001" customHeight="1">
      <c r="B108" s="9">
        <f ca="1">IFERROR(IF(DarlehenNichtBezahlt*DarlehenIstGut,ZahlungNummer,""), "")</f>
        <v>99</v>
      </c>
      <c r="C108" s="10">
        <f ca="1">IFERROR(IF(DarlehenNichtBezahlt*DarlehenIstGut,ZahlungsDatum,""), "")</f>
        <v>47165</v>
      </c>
      <c r="D108" s="11">
        <f ca="1">IFERROR(IF(DarlehenNichtBezahlt*DarlehenIstGut,DarlehensWert,""), "")</f>
        <v>4079.192550457301</v>
      </c>
      <c r="E108" s="11">
        <f ca="1">IFERROR(IF(DarlehenNichtBezahlt*DarlehenIstGut,MonatlicheZahlung,""), "")</f>
        <v>195.34730032886532</v>
      </c>
      <c r="F108" s="11">
        <f ca="1">IFERROR(IF(DarlehenNichtBezahlt*DarlehenIstGut,Kapital,""), "")</f>
        <v>176.6510011392692</v>
      </c>
      <c r="G108" s="11">
        <f ca="1">IFERROR(IF(DarlehenNichtBezahlt*DarlehenIstGut,ZinsBetrag,""), "")</f>
        <v>18.696299189596129</v>
      </c>
      <c r="H108" s="11">
        <f ca="1">IFERROR(IF(DarlehenNichtBezahlt*DarlehenIstGut,AbschlussSaldo,""), "")</f>
        <v>3902.5415493180335</v>
      </c>
    </row>
    <row r="109" spans="2:8" ht="20.100000000000001" customHeight="1">
      <c r="B109" s="9">
        <f ca="1">IFERROR(IF(DarlehenNichtBezahlt*DarlehenIstGut,ZahlungNummer,""), "")</f>
        <v>100</v>
      </c>
      <c r="C109" s="10">
        <f ca="1">IFERROR(IF(DarlehenNichtBezahlt*DarlehenIstGut,ZahlungsDatum,""), "")</f>
        <v>47193</v>
      </c>
      <c r="D109" s="11">
        <f ca="1">IFERROR(IF(DarlehenNichtBezahlt*DarlehenIstGut,DarlehensWert,""), "")</f>
        <v>3902.5415493180335</v>
      </c>
      <c r="E109" s="11">
        <f ca="1">IFERROR(IF(DarlehenNichtBezahlt*DarlehenIstGut,MonatlicheZahlung,""), "")</f>
        <v>195.34730032886532</v>
      </c>
      <c r="F109" s="11">
        <f ca="1">IFERROR(IF(DarlehenNichtBezahlt*DarlehenIstGut,Kapital,""), "")</f>
        <v>177.4606515611575</v>
      </c>
      <c r="G109" s="11">
        <f ca="1">IFERROR(IF(DarlehenNichtBezahlt*DarlehenIstGut,ZinsBetrag,""), "")</f>
        <v>17.886648767707811</v>
      </c>
      <c r="H109" s="11">
        <f ca="1">IFERROR(IF(DarlehenNichtBezahlt*DarlehenIstGut,AbschlussSaldo,""), "")</f>
        <v>3725.0808977568777</v>
      </c>
    </row>
    <row r="110" spans="2:8" ht="20.100000000000001" customHeight="1">
      <c r="B110" s="9">
        <f ca="1">IFERROR(IF(DarlehenNichtBezahlt*DarlehenIstGut,ZahlungNummer,""), "")</f>
        <v>101</v>
      </c>
      <c r="C110" s="10">
        <f ca="1">IFERROR(IF(DarlehenNichtBezahlt*DarlehenIstGut,ZahlungsDatum,""), "")</f>
        <v>47224</v>
      </c>
      <c r="D110" s="11">
        <f ca="1">IFERROR(IF(DarlehenNichtBezahlt*DarlehenIstGut,DarlehensWert,""), "")</f>
        <v>3725.0808977568777</v>
      </c>
      <c r="E110" s="11">
        <f ca="1">IFERROR(IF(DarlehenNichtBezahlt*DarlehenIstGut,MonatlicheZahlung,""), "")</f>
        <v>195.34730032886532</v>
      </c>
      <c r="F110" s="11">
        <f ca="1">IFERROR(IF(DarlehenNichtBezahlt*DarlehenIstGut,Kapital,""), "")</f>
        <v>178.27401288081282</v>
      </c>
      <c r="G110" s="11">
        <f ca="1">IFERROR(IF(DarlehenNichtBezahlt*DarlehenIstGut,ZinsBetrag,""), "")</f>
        <v>17.073287448052508</v>
      </c>
      <c r="H110" s="11">
        <f ca="1">IFERROR(IF(DarlehenNichtBezahlt*DarlehenIstGut,AbschlussSaldo,""), "")</f>
        <v>3546.8068848760558</v>
      </c>
    </row>
    <row r="111" spans="2:8" ht="20.100000000000001" customHeight="1">
      <c r="B111" s="9">
        <f ca="1">IFERROR(IF(DarlehenNichtBezahlt*DarlehenIstGut,ZahlungNummer,""), "")</f>
        <v>102</v>
      </c>
      <c r="C111" s="10">
        <f ca="1">IFERROR(IF(DarlehenNichtBezahlt*DarlehenIstGut,ZahlungsDatum,""), "")</f>
        <v>47254</v>
      </c>
      <c r="D111" s="11">
        <f ca="1">IFERROR(IF(DarlehenNichtBezahlt*DarlehenIstGut,DarlehensWert,""), "")</f>
        <v>3546.8068848760558</v>
      </c>
      <c r="E111" s="11">
        <f ca="1">IFERROR(IF(DarlehenNichtBezahlt*DarlehenIstGut,MonatlicheZahlung,""), "")</f>
        <v>195.34730032886532</v>
      </c>
      <c r="F111" s="11">
        <f ca="1">IFERROR(IF(DarlehenNichtBezahlt*DarlehenIstGut,Kapital,""), "")</f>
        <v>179.09110210651656</v>
      </c>
      <c r="G111" s="11">
        <f ca="1">IFERROR(IF(DarlehenNichtBezahlt*DarlehenIstGut,ZinsBetrag,""), "")</f>
        <v>16.256198222348782</v>
      </c>
      <c r="H111" s="11">
        <f ca="1">IFERROR(IF(DarlehenNichtBezahlt*DarlehenIstGut,AbschlussSaldo,""), "")</f>
        <v>3367.715782769541</v>
      </c>
    </row>
    <row r="112" spans="2:8" ht="20.100000000000001" customHeight="1">
      <c r="B112" s="9">
        <f ca="1">IFERROR(IF(DarlehenNichtBezahlt*DarlehenIstGut,ZahlungNummer,""), "")</f>
        <v>103</v>
      </c>
      <c r="C112" s="10">
        <f ca="1">IFERROR(IF(DarlehenNichtBezahlt*DarlehenIstGut,ZahlungsDatum,""), "")</f>
        <v>47285</v>
      </c>
      <c r="D112" s="11">
        <f ca="1">IFERROR(IF(DarlehenNichtBezahlt*DarlehenIstGut,DarlehensWert,""), "")</f>
        <v>3367.715782769541</v>
      </c>
      <c r="E112" s="11">
        <f ca="1">IFERROR(IF(DarlehenNichtBezahlt*DarlehenIstGut,MonatlicheZahlung,""), "")</f>
        <v>195.34730032886532</v>
      </c>
      <c r="F112" s="11">
        <f ca="1">IFERROR(IF(DarlehenNichtBezahlt*DarlehenIstGut,Kapital,""), "")</f>
        <v>179.91193632450472</v>
      </c>
      <c r="G112" s="11">
        <f ca="1">IFERROR(IF(DarlehenNichtBezahlt*DarlehenIstGut,ZinsBetrag,""), "")</f>
        <v>15.435364004360579</v>
      </c>
      <c r="H112" s="11">
        <f ca="1">IFERROR(IF(DarlehenNichtBezahlt*DarlehenIstGut,AbschlussSaldo,""), "")</f>
        <v>3187.8038464450365</v>
      </c>
    </row>
    <row r="113" spans="2:8" ht="20.100000000000001" customHeight="1">
      <c r="B113" s="9">
        <f ca="1">IFERROR(IF(DarlehenNichtBezahlt*DarlehenIstGut,ZahlungNummer,""), "")</f>
        <v>104</v>
      </c>
      <c r="C113" s="10">
        <f ca="1">IFERROR(IF(DarlehenNichtBezahlt*DarlehenIstGut,ZahlungsDatum,""), "")</f>
        <v>47315</v>
      </c>
      <c r="D113" s="11">
        <f ca="1">IFERROR(IF(DarlehenNichtBezahlt*DarlehenIstGut,DarlehensWert,""), "")</f>
        <v>3187.8038464450365</v>
      </c>
      <c r="E113" s="11">
        <f ca="1">IFERROR(IF(DarlehenNichtBezahlt*DarlehenIstGut,MonatlicheZahlung,""), "")</f>
        <v>195.34730032886532</v>
      </c>
      <c r="F113" s="11">
        <f ca="1">IFERROR(IF(DarlehenNichtBezahlt*DarlehenIstGut,Kapital,""), "")</f>
        <v>180.73653269932538</v>
      </c>
      <c r="G113" s="11">
        <f ca="1">IFERROR(IF(DarlehenNichtBezahlt*DarlehenIstGut,ZinsBetrag,""), "")</f>
        <v>14.610767629539932</v>
      </c>
      <c r="H113" s="11">
        <f ca="1">IFERROR(IF(DarlehenNichtBezahlt*DarlehenIstGut,AbschlussSaldo,""), "")</f>
        <v>3007.0673137457197</v>
      </c>
    </row>
    <row r="114" spans="2:8" ht="20.100000000000001" customHeight="1">
      <c r="B114" s="9">
        <f ca="1">IFERROR(IF(DarlehenNichtBezahlt*DarlehenIstGut,ZahlungNummer,""), "")</f>
        <v>105</v>
      </c>
      <c r="C114" s="10">
        <f ca="1">IFERROR(IF(DarlehenNichtBezahlt*DarlehenIstGut,ZahlungsDatum,""), "")</f>
        <v>47346</v>
      </c>
      <c r="D114" s="11">
        <f ca="1">IFERROR(IF(DarlehenNichtBezahlt*DarlehenIstGut,DarlehensWert,""), "")</f>
        <v>3007.0673137457197</v>
      </c>
      <c r="E114" s="11">
        <f ca="1">IFERROR(IF(DarlehenNichtBezahlt*DarlehenIstGut,MonatlicheZahlung,""), "")</f>
        <v>195.34730032886532</v>
      </c>
      <c r="F114" s="11">
        <f ca="1">IFERROR(IF(DarlehenNichtBezahlt*DarlehenIstGut,Kapital,""), "")</f>
        <v>181.56490847419732</v>
      </c>
      <c r="G114" s="11">
        <f ca="1">IFERROR(IF(DarlehenNichtBezahlt*DarlehenIstGut,ZinsBetrag,""), "")</f>
        <v>13.782391854668026</v>
      </c>
      <c r="H114" s="11">
        <f ca="1">IFERROR(IF(DarlehenNichtBezahlt*DarlehenIstGut,AbschlussSaldo,""), "")</f>
        <v>2825.5024052715125</v>
      </c>
    </row>
    <row r="115" spans="2:8" ht="20.100000000000001" customHeight="1">
      <c r="B115" s="9">
        <f ca="1">IFERROR(IF(DarlehenNichtBezahlt*DarlehenIstGut,ZahlungNummer,""), "")</f>
        <v>106</v>
      </c>
      <c r="C115" s="10">
        <f ca="1">IFERROR(IF(DarlehenNichtBezahlt*DarlehenIstGut,ZahlungsDatum,""), "")</f>
        <v>47377</v>
      </c>
      <c r="D115" s="11">
        <f ca="1">IFERROR(IF(DarlehenNichtBezahlt*DarlehenIstGut,DarlehensWert,""), "")</f>
        <v>2825.5024052715125</v>
      </c>
      <c r="E115" s="11">
        <f ca="1">IFERROR(IF(DarlehenNichtBezahlt*DarlehenIstGut,MonatlicheZahlung,""), "")</f>
        <v>195.34730032886532</v>
      </c>
      <c r="F115" s="11">
        <f ca="1">IFERROR(IF(DarlehenNichtBezahlt*DarlehenIstGut,Kapital,""), "")</f>
        <v>182.39708097137071</v>
      </c>
      <c r="G115" s="11">
        <f ca="1">IFERROR(IF(DarlehenNichtBezahlt*DarlehenIstGut,ZinsBetrag,""), "")</f>
        <v>12.950219357494619</v>
      </c>
      <c r="H115" s="11">
        <f ca="1">IFERROR(IF(DarlehenNichtBezahlt*DarlehenIstGut,AbschlussSaldo,""), "")</f>
        <v>2643.1053243001479</v>
      </c>
    </row>
    <row r="116" spans="2:8" ht="20.100000000000001" customHeight="1">
      <c r="B116" s="9">
        <f ca="1">IFERROR(IF(DarlehenNichtBezahlt*DarlehenIstGut,ZahlungNummer,""), "")</f>
        <v>107</v>
      </c>
      <c r="C116" s="10">
        <f ca="1">IFERROR(IF(DarlehenNichtBezahlt*DarlehenIstGut,ZahlungsDatum,""), "")</f>
        <v>47407</v>
      </c>
      <c r="D116" s="11">
        <f ca="1">IFERROR(IF(DarlehenNichtBezahlt*DarlehenIstGut,DarlehensWert,""), "")</f>
        <v>2643.1053243001479</v>
      </c>
      <c r="E116" s="11">
        <f ca="1">IFERROR(IF(DarlehenNichtBezahlt*DarlehenIstGut,MonatlicheZahlung,""), "")</f>
        <v>195.34730032886532</v>
      </c>
      <c r="F116" s="11">
        <f ca="1">IFERROR(IF(DarlehenNichtBezahlt*DarlehenIstGut,Kapital,""), "")</f>
        <v>183.2330675924895</v>
      </c>
      <c r="G116" s="11">
        <f ca="1">IFERROR(IF(DarlehenNichtBezahlt*DarlehenIstGut,ZinsBetrag,""), "")</f>
        <v>12.114232736375836</v>
      </c>
      <c r="H116" s="11">
        <f ca="1">IFERROR(IF(DarlehenNichtBezahlt*DarlehenIstGut,AbschlussSaldo,""), "")</f>
        <v>2459.8722567076475</v>
      </c>
    </row>
    <row r="117" spans="2:8" ht="20.100000000000001" customHeight="1">
      <c r="B117" s="9">
        <f ca="1">IFERROR(IF(DarlehenNichtBezahlt*DarlehenIstGut,ZahlungNummer,""), "")</f>
        <v>108</v>
      </c>
      <c r="C117" s="10">
        <f ca="1">IFERROR(IF(DarlehenNichtBezahlt*DarlehenIstGut,ZahlungsDatum,""), "")</f>
        <v>47438</v>
      </c>
      <c r="D117" s="11">
        <f ca="1">IFERROR(IF(DarlehenNichtBezahlt*DarlehenIstGut,DarlehensWert,""), "")</f>
        <v>2459.8722567076475</v>
      </c>
      <c r="E117" s="11">
        <f ca="1">IFERROR(IF(DarlehenNichtBezahlt*DarlehenIstGut,MonatlicheZahlung,""), "")</f>
        <v>195.34730032886532</v>
      </c>
      <c r="F117" s="11">
        <f ca="1">IFERROR(IF(DarlehenNichtBezahlt*DarlehenIstGut,Kapital,""), "")</f>
        <v>184.07288581895506</v>
      </c>
      <c r="G117" s="11">
        <f ca="1">IFERROR(IF(DarlehenNichtBezahlt*DarlehenIstGut,ZinsBetrag,""), "")</f>
        <v>11.274414509910262</v>
      </c>
      <c r="H117" s="11">
        <f ca="1">IFERROR(IF(DarlehenNichtBezahlt*DarlehenIstGut,AbschlussSaldo,""), "")</f>
        <v>2275.7993708887007</v>
      </c>
    </row>
    <row r="118" spans="2:8" ht="20.100000000000001" customHeight="1">
      <c r="B118" s="9">
        <f ca="1">IFERROR(IF(DarlehenNichtBezahlt*DarlehenIstGut,ZahlungNummer,""), "")</f>
        <v>109</v>
      </c>
      <c r="C118" s="10">
        <f ca="1">IFERROR(IF(DarlehenNichtBezahlt*DarlehenIstGut,ZahlungsDatum,""), "")</f>
        <v>47468</v>
      </c>
      <c r="D118" s="11">
        <f ca="1">IFERROR(IF(DarlehenNichtBezahlt*DarlehenIstGut,DarlehensWert,""), "")</f>
        <v>2275.7993708887007</v>
      </c>
      <c r="E118" s="11">
        <f ca="1">IFERROR(IF(DarlehenNichtBezahlt*DarlehenIstGut,MonatlicheZahlung,""), "")</f>
        <v>195.34730032886532</v>
      </c>
      <c r="F118" s="11">
        <f ca="1">IFERROR(IF(DarlehenNichtBezahlt*DarlehenIstGut,Kapital,""), "")</f>
        <v>184.91655321229194</v>
      </c>
      <c r="G118" s="11">
        <f ca="1">IFERROR(IF(DarlehenNichtBezahlt*DarlehenIstGut,ZinsBetrag,""), "")</f>
        <v>10.430747116573384</v>
      </c>
      <c r="H118" s="11">
        <f ca="1">IFERROR(IF(DarlehenNichtBezahlt*DarlehenIstGut,AbschlussSaldo,""), "")</f>
        <v>2090.8828176764146</v>
      </c>
    </row>
    <row r="119" spans="2:8" ht="20.100000000000001" customHeight="1">
      <c r="B119" s="9">
        <f ca="1">IFERROR(IF(DarlehenNichtBezahlt*DarlehenIstGut,ZahlungNummer,""), "")</f>
        <v>110</v>
      </c>
      <c r="C119" s="10">
        <f ca="1">IFERROR(IF(DarlehenNichtBezahlt*DarlehenIstGut,ZahlungsDatum,""), "")</f>
        <v>47499</v>
      </c>
      <c r="D119" s="11">
        <f ca="1">IFERROR(IF(DarlehenNichtBezahlt*DarlehenIstGut,DarlehensWert,""), "")</f>
        <v>2090.8828176764146</v>
      </c>
      <c r="E119" s="11">
        <f ca="1">IFERROR(IF(DarlehenNichtBezahlt*DarlehenIstGut,MonatlicheZahlung,""), "")</f>
        <v>195.34730032886532</v>
      </c>
      <c r="F119" s="11">
        <f ca="1">IFERROR(IF(DarlehenNichtBezahlt*DarlehenIstGut,Kapital,""), "")</f>
        <v>185.76408741451493</v>
      </c>
      <c r="G119" s="11">
        <f ca="1">IFERROR(IF(DarlehenNichtBezahlt*DarlehenIstGut,ZinsBetrag,""), "")</f>
        <v>9.5832129143503799</v>
      </c>
      <c r="H119" s="11">
        <f ca="1">IFERROR(IF(DarlehenNichtBezahlt*DarlehenIstGut,AbschlussSaldo,""), "")</f>
        <v>1905.1187302618928</v>
      </c>
    </row>
    <row r="120" spans="2:8" ht="20.100000000000001" customHeight="1">
      <c r="B120" s="9">
        <f ca="1">IFERROR(IF(DarlehenNichtBezahlt*DarlehenIstGut,ZahlungNummer,""), "")</f>
        <v>111</v>
      </c>
      <c r="C120" s="10">
        <f ca="1">IFERROR(IF(DarlehenNichtBezahlt*DarlehenIstGut,ZahlungsDatum,""), "")</f>
        <v>47530</v>
      </c>
      <c r="D120" s="11">
        <f ca="1">IFERROR(IF(DarlehenNichtBezahlt*DarlehenIstGut,DarlehensWert,""), "")</f>
        <v>1905.1187302618928</v>
      </c>
      <c r="E120" s="11">
        <f ca="1">IFERROR(IF(DarlehenNichtBezahlt*DarlehenIstGut,MonatlicheZahlung,""), "")</f>
        <v>195.34730032886532</v>
      </c>
      <c r="F120" s="11">
        <f ca="1">IFERROR(IF(DarlehenNichtBezahlt*DarlehenIstGut,Kapital,""), "")</f>
        <v>186.61550614849816</v>
      </c>
      <c r="G120" s="11">
        <f ca="1">IFERROR(IF(DarlehenNichtBezahlt*DarlehenIstGut,ZinsBetrag,""), "")</f>
        <v>8.731794180367185</v>
      </c>
      <c r="H120" s="11">
        <f ca="1">IFERROR(IF(DarlehenNichtBezahlt*DarlehenIstGut,AbschlussSaldo,""), "")</f>
        <v>1718.5032241133995</v>
      </c>
    </row>
    <row r="121" spans="2:8" ht="20.100000000000001" customHeight="1">
      <c r="B121" s="9">
        <f ca="1">IFERROR(IF(DarlehenNichtBezahlt*DarlehenIstGut,ZahlungNummer,""), "")</f>
        <v>112</v>
      </c>
      <c r="C121" s="10">
        <f ca="1">IFERROR(IF(DarlehenNichtBezahlt*DarlehenIstGut,ZahlungsDatum,""), "")</f>
        <v>47558</v>
      </c>
      <c r="D121" s="11">
        <f ca="1">IFERROR(IF(DarlehenNichtBezahlt*DarlehenIstGut,DarlehensWert,""), "")</f>
        <v>1718.5032241133995</v>
      </c>
      <c r="E121" s="11">
        <f ca="1">IFERROR(IF(DarlehenNichtBezahlt*DarlehenIstGut,MonatlicheZahlung,""), "")</f>
        <v>195.34730032886532</v>
      </c>
      <c r="F121" s="11">
        <f ca="1">IFERROR(IF(DarlehenNichtBezahlt*DarlehenIstGut,Kapital,""), "")</f>
        <v>187.47082721834542</v>
      </c>
      <c r="G121" s="11">
        <f ca="1">IFERROR(IF(DarlehenNichtBezahlt*DarlehenIstGut,ZinsBetrag,""), "")</f>
        <v>7.8764731105199015</v>
      </c>
      <c r="H121" s="11">
        <f ca="1">IFERROR(IF(DarlehenNichtBezahlt*DarlehenIstGut,AbschlussSaldo,""), "")</f>
        <v>1531.032396895047</v>
      </c>
    </row>
    <row r="122" spans="2:8" ht="20.100000000000001" customHeight="1">
      <c r="B122" s="9">
        <f ca="1">IFERROR(IF(DarlehenNichtBezahlt*DarlehenIstGut,ZahlungNummer,""), "")</f>
        <v>113</v>
      </c>
      <c r="C122" s="10">
        <f ca="1">IFERROR(IF(DarlehenNichtBezahlt*DarlehenIstGut,ZahlungsDatum,""), "")</f>
        <v>47589</v>
      </c>
      <c r="D122" s="11">
        <f ca="1">IFERROR(IF(DarlehenNichtBezahlt*DarlehenIstGut,DarlehensWert,""), "")</f>
        <v>1531.032396895047</v>
      </c>
      <c r="E122" s="11">
        <f ca="1">IFERROR(IF(DarlehenNichtBezahlt*DarlehenIstGut,MonatlicheZahlung,""), "")</f>
        <v>195.34730032886532</v>
      </c>
      <c r="F122" s="11">
        <f ca="1">IFERROR(IF(DarlehenNichtBezahlt*DarlehenIstGut,Kapital,""), "")</f>
        <v>188.33006850976284</v>
      </c>
      <c r="G122" s="11">
        <f ca="1">IFERROR(IF(DarlehenNichtBezahlt*DarlehenIstGut,ZinsBetrag,""), "")</f>
        <v>7.0172318191024852</v>
      </c>
      <c r="H122" s="11">
        <f ca="1">IFERROR(IF(DarlehenNichtBezahlt*DarlehenIstGut,AbschlussSaldo,""), "")</f>
        <v>1342.7023283852832</v>
      </c>
    </row>
    <row r="123" spans="2:8" ht="20.100000000000001" customHeight="1">
      <c r="B123" s="9">
        <f ca="1">IFERROR(IF(DarlehenNichtBezahlt*DarlehenIstGut,ZahlungNummer,""), "")</f>
        <v>114</v>
      </c>
      <c r="C123" s="10">
        <f ca="1">IFERROR(IF(DarlehenNichtBezahlt*DarlehenIstGut,ZahlungsDatum,""), "")</f>
        <v>47619</v>
      </c>
      <c r="D123" s="11">
        <f ca="1">IFERROR(IF(DarlehenNichtBezahlt*DarlehenIstGut,DarlehensWert,""), "")</f>
        <v>1342.7023283852832</v>
      </c>
      <c r="E123" s="11">
        <f ca="1">IFERROR(IF(DarlehenNichtBezahlt*DarlehenIstGut,MonatlicheZahlung,""), "")</f>
        <v>195.34730032886532</v>
      </c>
      <c r="F123" s="11">
        <f ca="1">IFERROR(IF(DarlehenNichtBezahlt*DarlehenIstGut,Kapital,""), "")</f>
        <v>189.19324799043258</v>
      </c>
      <c r="G123" s="11">
        <f ca="1">IFERROR(IF(DarlehenNichtBezahlt*DarlehenIstGut,ZinsBetrag,""), "")</f>
        <v>6.1540523384327388</v>
      </c>
      <c r="H123" s="11">
        <f ca="1">IFERROR(IF(DarlehenNichtBezahlt*DarlehenIstGut,AbschlussSaldo,""), "")</f>
        <v>1153.5090803948478</v>
      </c>
    </row>
    <row r="124" spans="2:8" ht="20.100000000000001" customHeight="1">
      <c r="B124" s="9">
        <f ca="1">IFERROR(IF(DarlehenNichtBezahlt*DarlehenIstGut,ZahlungNummer,""), "")</f>
        <v>115</v>
      </c>
      <c r="C124" s="10">
        <f ca="1">IFERROR(IF(DarlehenNichtBezahlt*DarlehenIstGut,ZahlungsDatum,""), "")</f>
        <v>47650</v>
      </c>
      <c r="D124" s="11">
        <f ca="1">IFERROR(IF(DarlehenNichtBezahlt*DarlehenIstGut,DarlehensWert,""), "")</f>
        <v>1153.5090803948478</v>
      </c>
      <c r="E124" s="11">
        <f ca="1">IFERROR(IF(DarlehenNichtBezahlt*DarlehenIstGut,MonatlicheZahlung,""), "")</f>
        <v>195.34730032886532</v>
      </c>
      <c r="F124" s="11">
        <f ca="1">IFERROR(IF(DarlehenNichtBezahlt*DarlehenIstGut,Kapital,""), "")</f>
        <v>190.06038371038875</v>
      </c>
      <c r="G124" s="11">
        <f ca="1">IFERROR(IF(DarlehenNichtBezahlt*DarlehenIstGut,ZinsBetrag,""), "")</f>
        <v>5.2869166184765888</v>
      </c>
      <c r="H124" s="11">
        <f ca="1">IFERROR(IF(DarlehenNichtBezahlt*DarlehenIstGut,AbschlussSaldo,""), "")</f>
        <v>963.44869668445972</v>
      </c>
    </row>
    <row r="125" spans="2:8" ht="20.100000000000001" customHeight="1">
      <c r="B125" s="9">
        <f ca="1">IFERROR(IF(DarlehenNichtBezahlt*DarlehenIstGut,ZahlungNummer,""), "")</f>
        <v>116</v>
      </c>
      <c r="C125" s="10">
        <f ca="1">IFERROR(IF(DarlehenNichtBezahlt*DarlehenIstGut,ZahlungsDatum,""), "")</f>
        <v>47680</v>
      </c>
      <c r="D125" s="11">
        <f ca="1">IFERROR(IF(DarlehenNichtBezahlt*DarlehenIstGut,DarlehensWert,""), "")</f>
        <v>963.44869668445972</v>
      </c>
      <c r="E125" s="11">
        <f ca="1">IFERROR(IF(DarlehenNichtBezahlt*DarlehenIstGut,MonatlicheZahlung,""), "")</f>
        <v>195.34730032886532</v>
      </c>
      <c r="F125" s="11">
        <f ca="1">IFERROR(IF(DarlehenNichtBezahlt*DarlehenIstGut,Kapital,""), "")</f>
        <v>190.93149380239467</v>
      </c>
      <c r="G125" s="11">
        <f ca="1">IFERROR(IF(DarlehenNichtBezahlt*DarlehenIstGut,ZinsBetrag,""), "")</f>
        <v>4.4158065264706403</v>
      </c>
      <c r="H125" s="11">
        <f ca="1">IFERROR(IF(DarlehenNichtBezahlt*DarlehenIstGut,AbschlussSaldo,""), "")</f>
        <v>772.51720288206707</v>
      </c>
    </row>
    <row r="126" spans="2:8" ht="20.100000000000001" customHeight="1">
      <c r="B126" s="9">
        <f ca="1">IFERROR(IF(DarlehenNichtBezahlt*DarlehenIstGut,ZahlungNummer,""), "")</f>
        <v>117</v>
      </c>
      <c r="C126" s="10">
        <f ca="1">IFERROR(IF(DarlehenNichtBezahlt*DarlehenIstGut,ZahlungsDatum,""), "")</f>
        <v>47711</v>
      </c>
      <c r="D126" s="11">
        <f ca="1">IFERROR(IF(DarlehenNichtBezahlt*DarlehenIstGut,DarlehensWert,""), "")</f>
        <v>772.51720288206707</v>
      </c>
      <c r="E126" s="11">
        <f ca="1">IFERROR(IF(DarlehenNichtBezahlt*DarlehenIstGut,MonatlicheZahlung,""), "")</f>
        <v>195.34730032886532</v>
      </c>
      <c r="F126" s="11">
        <f ca="1">IFERROR(IF(DarlehenNichtBezahlt*DarlehenIstGut,Kapital,""), "")</f>
        <v>191.80659648232233</v>
      </c>
      <c r="G126" s="11">
        <f ca="1">IFERROR(IF(DarlehenNichtBezahlt*DarlehenIstGut,ZinsBetrag,""), "")</f>
        <v>3.5407038465429981</v>
      </c>
      <c r="H126" s="11">
        <f ca="1">IFERROR(IF(DarlehenNichtBezahlt*DarlehenIstGut,AbschlussSaldo,""), "")</f>
        <v>580.71060639974166</v>
      </c>
    </row>
    <row r="127" spans="2:8" ht="20.100000000000001" customHeight="1">
      <c r="B127" s="9">
        <f ca="1">IFERROR(IF(DarlehenNichtBezahlt*DarlehenIstGut,ZahlungNummer,""), "")</f>
        <v>118</v>
      </c>
      <c r="C127" s="10">
        <f ca="1">IFERROR(IF(DarlehenNichtBezahlt*DarlehenIstGut,ZahlungsDatum,""), "")</f>
        <v>47742</v>
      </c>
      <c r="D127" s="11">
        <f ca="1">IFERROR(IF(DarlehenNichtBezahlt*DarlehenIstGut,DarlehensWert,""), "")</f>
        <v>580.71060639974166</v>
      </c>
      <c r="E127" s="11">
        <f ca="1">IFERROR(IF(DarlehenNichtBezahlt*DarlehenIstGut,MonatlicheZahlung,""), "")</f>
        <v>195.34730032886532</v>
      </c>
      <c r="F127" s="11">
        <f ca="1">IFERROR(IF(DarlehenNichtBezahlt*DarlehenIstGut,Kapital,""), "")</f>
        <v>192.68571004953299</v>
      </c>
      <c r="G127" s="11">
        <f ca="1">IFERROR(IF(DarlehenNichtBezahlt*DarlehenIstGut,ZinsBetrag,""), "")</f>
        <v>2.661590279332354</v>
      </c>
      <c r="H127" s="11">
        <f ca="1">IFERROR(IF(DarlehenNichtBezahlt*DarlehenIstGut,AbschlussSaldo,""), "")</f>
        <v>388.02489635020538</v>
      </c>
    </row>
    <row r="128" spans="2:8" ht="20.100000000000001" customHeight="1">
      <c r="B128" s="9">
        <f ca="1">IFERROR(IF(DarlehenNichtBezahlt*DarlehenIstGut,ZahlungNummer,""), "")</f>
        <v>119</v>
      </c>
      <c r="C128" s="10">
        <f ca="1">IFERROR(IF(DarlehenNichtBezahlt*DarlehenIstGut,ZahlungsDatum,""), "")</f>
        <v>47772</v>
      </c>
      <c r="D128" s="11">
        <f ca="1">IFERROR(IF(DarlehenNichtBezahlt*DarlehenIstGut,DarlehensWert,""), "")</f>
        <v>388.02489635020538</v>
      </c>
      <c r="E128" s="11">
        <f ca="1">IFERROR(IF(DarlehenNichtBezahlt*DarlehenIstGut,MonatlicheZahlung,""), "")</f>
        <v>195.34730032886532</v>
      </c>
      <c r="F128" s="11">
        <f ca="1">IFERROR(IF(DarlehenNichtBezahlt*DarlehenIstGut,Kapital,""), "")</f>
        <v>193.56885288725999</v>
      </c>
      <c r="G128" s="11">
        <f ca="1">IFERROR(IF(DarlehenNichtBezahlt*DarlehenIstGut,ZinsBetrag,""), "")</f>
        <v>1.7784474416053275</v>
      </c>
      <c r="H128" s="11">
        <f ca="1">IFERROR(IF(DarlehenNichtBezahlt*DarlehenIstGut,AbschlussSaldo,""), "")</f>
        <v>194.45604346294931</v>
      </c>
    </row>
    <row r="129" spans="2:8" ht="20.100000000000001" customHeight="1">
      <c r="B129" s="9">
        <f ca="1">IFERROR(IF(DarlehenNichtBezahlt*DarlehenIstGut,ZahlungNummer,""), "")</f>
        <v>120</v>
      </c>
      <c r="C129" s="10">
        <f ca="1">IFERROR(IF(DarlehenNichtBezahlt*DarlehenIstGut,ZahlungsDatum,""), "")</f>
        <v>47803</v>
      </c>
      <c r="D129" s="11">
        <f ca="1">IFERROR(IF(DarlehenNichtBezahlt*DarlehenIstGut,DarlehensWert,""), "")</f>
        <v>194.45604346294931</v>
      </c>
      <c r="E129" s="11">
        <f ca="1">IFERROR(IF(DarlehenNichtBezahlt*DarlehenIstGut,MonatlicheZahlung,""), "")</f>
        <v>195.34730032886532</v>
      </c>
      <c r="F129" s="11">
        <f ca="1">IFERROR(IF(DarlehenNichtBezahlt*DarlehenIstGut,Kapital,""), "")</f>
        <v>194.45604346299331</v>
      </c>
      <c r="G129" s="11">
        <f ca="1">IFERROR(IF(DarlehenNichtBezahlt*DarlehenIstGut,ZinsBetrag,""), "")</f>
        <v>0.89125686587205266</v>
      </c>
      <c r="H129" s="11">
        <f ca="1">IFERROR(IF(DarlehenNichtBezahlt*DarlehenIstGut,AbschlussSaldo,""), "")</f>
        <v>-4.3655745685100555E-11</v>
      </c>
    </row>
    <row r="130" spans="2:8" ht="20.100000000000001"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00000000000001"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00000000000001"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00000000000001"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00000000000001"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00000000000001"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00000000000001"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00000000000001"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00000000000001"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00000000000001"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00000000000001"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00000000000001"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00000000000001"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00000000000001"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00000000000001"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00000000000001"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00000000000001"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00000000000001"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00000000000001"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00000000000001"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00000000000001"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00000000000001"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00000000000001"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00000000000001"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00000000000001"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00000000000001"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00000000000001"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00000000000001"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00000000000001"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00000000000001"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00000000000001"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00000000000001"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00000000000001"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00000000000001"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00000000000001"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00000000000001"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00000000000001"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00000000000001"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00000000000001"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00000000000001"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00000000000001"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00000000000001"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00000000000001"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00000000000001"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00000000000001"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00000000000001"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00000000000001"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00000000000001"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00000000000001"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00000000000001"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00000000000001"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00000000000001"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00000000000001"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00000000000001"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00000000000001"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00000000000001"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00000000000001"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00000000000001"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00000000000001"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00000000000001"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00000000000001"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00000000000001"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00000000000001"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00000000000001"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00000000000001"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00000000000001"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00000000000001"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00000000000001"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00000000000001"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00000000000001"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00000000000001"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00000000000001"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00000000000001"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00000000000001"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00000000000001"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00000000000001"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00000000000001"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00000000000001"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00000000000001"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00000000000001"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00000000000001"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00000000000001"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00000000000001"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00000000000001"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00000000000001"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00000000000001"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00000000000001"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00000000000001"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00000000000001"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00000000000001"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00000000000001"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00000000000001"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00000000000001"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00000000000001"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00000000000001"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00000000000001"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00000000000001"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00000000000001"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00000000000001"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00000000000001"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00000000000001"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00000000000001"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00000000000001"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00000000000001"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00000000000001"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00000000000001"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00000000000001"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00000000000001"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00000000000001"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00000000000001"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00000000000001"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00000000000001"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00000000000001"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00000000000001"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00000000000001"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00000000000001"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00000000000001"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00000000000001"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00000000000001"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00000000000001"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00000000000001"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00000000000001"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00000000000001"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00000000000001"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00000000000001"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00000000000001"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00000000000001"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00000000000001"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00000000000001"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00000000000001"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00000000000001"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00000000000001"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00000000000001"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00000000000001"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00000000000001"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00000000000001"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00000000000001"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00000000000001"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00000000000001"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00000000000001"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00000000000001"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00000000000001"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00000000000001"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00000000000001"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00000000000001"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00000000000001"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00000000000001"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00000000000001"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00000000000001"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00000000000001"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00000000000001"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00000000000001"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00000000000001"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00000000000001"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00000000000001"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00000000000001"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00000000000001"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00000000000001"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00000000000001"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00000000000001"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00000000000001"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00000000000001"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00000000000001"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00000000000001"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00000000000001"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00000000000001"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00000000000001"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00000000000001"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00000000000001"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00000000000001"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00000000000001"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00000000000001"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00000000000001"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00000000000001"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00000000000001"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00000000000001"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00000000000001"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00000000000001"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00000000000001"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00000000000001"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00000000000001"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00000000000001"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00000000000001"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00000000000001"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00000000000001"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00000000000001"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00000000000001"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00000000000001"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00000000000001"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00000000000001"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00000000000001"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00000000000001"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00000000000001"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00000000000001"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00000000000001"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00000000000001"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00000000000001"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00000000000001"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00000000000001"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00000000000001"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00000000000001"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00000000000001"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00000000000001"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00000000000001"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00000000000001"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00000000000001"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00000000000001"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00000000000001"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00000000000001"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00000000000001"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00000000000001"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00000000000001"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00000000000001"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00000000000001"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00000000000001"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00000000000001"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00000000000001"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00000000000001"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00000000000001"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00000000000001"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00000000000001"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00000000000001"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00000000000001"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00000000000001"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00000000000001"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00000000000001"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00000000000001"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00000000000001"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00000000000001"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00000000000001"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00000000000001"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00000000000001"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00000000000001"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00000000000001"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00000000000001"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00000000000001"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00000000000001"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00000000000001"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00000000000001"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00000000000001"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6:C6"/>
    <mergeCell ref="B7:C7"/>
    <mergeCell ref="F4:G4"/>
    <mergeCell ref="F5:G5"/>
    <mergeCell ref="F6:G6"/>
    <mergeCell ref="F7:G7"/>
    <mergeCell ref="B3:D3"/>
    <mergeCell ref="F3:H3"/>
    <mergeCell ref="B1:H1"/>
    <mergeCell ref="B4:C4"/>
    <mergeCell ref="B5:C5"/>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1209675</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2020-11-16T13:10:49Z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