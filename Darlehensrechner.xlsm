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011B982B-3B99-4A49-B4EC-9BF331A973DB}" xr6:coauthVersionLast="36" xr6:coauthVersionMax="36" xr10:uidLastSave="{00000000-0000-0000-0000-000000000000}"/>
  <bookViews>
    <workbookView xWindow="-120" yWindow="-120" windowWidth="24240" windowHeight="1764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<sst xmlns="http://schemas.openxmlformats.org/spreadsheetml/2006/main" count="18" uniqueCount="18">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</sst>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xf numFmtId="0" fontId="11" fillId="6" borderId="6" xfId="6" applyFont="1" applyFill="1" applyBorder="1" applyAlignment="1">
      <alignment horizontal="right" vertical="center" indent="1"/>
    </xf>
    <xf numFmtId="0" fontId="11" fillId="6" borderId="0" xfId="6" applyFont="1" applyFill="1" applyBorder="1" applyAlignment="1">
      <alignment horizontal="right" vertical="center" indent="1"/>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1206500</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D6" sqref="D6"/>
    </sheetView>
  </sheetViews>
  <sheetFormatPr baseColWidth="10" defaultColWidth="8.85546875" defaultRowHeight="14"/>
  <cols>
    <col min="1" max="1" width="2.78515625" customWidth="1"/>
    <col min="2" max="2" width="7.5703125" style="1" customWidth="1"/>
    <col min="3" max="8" width="15.640625" style="1" customWidth="1"/>
    <col min="9" max="9" width="2.78515625" customWidth="1"/>
  </cols>
  <sheetData>
    <row r="1" spans="1:8" ht="60.75" customHeight="1">
      <c r="A1" s="15"/>
      <c r="B1" s="17" t="s">
        <v>0</v>
      </c>
      <c r="C1" s="17"/>
      <c r="D1" s="17"/>
      <c r="E1" s="17"/>
      <c r="F1" s="17"/>
      <c r="G1" s="17"/>
      <c r="H1" s="17"/>
    </row>
    <row r="2" spans="1:8" ht="9.75" customHeight="1">
      <c r="B2" s="2"/>
      <c r="C2" s="2"/>
      <c r="D2" s="2"/>
      <c r="E2" s="2"/>
      <c r="F2" s="2"/>
      <c r="G2" s="2"/>
      <c r="H2" s="2"/>
    </row>
    <row r="3" spans="1:8" ht="20.149999999999999" customHeight="1" thickBot="1">
      <c r="B3" s="16" t="s">
        <v>1</v>
      </c>
      <c r="C3" s="16"/>
      <c r="D3" s="16"/>
      <c r="E3"/>
      <c r="F3" s="16" t="s">
        <v>10</v>
      </c>
      <c r="G3" s="16"/>
      <c r="H3" s="16"/>
    </row>
    <row r="4" spans="1:8" ht="20.149999999999999" customHeight="1" thickTop="1">
      <c r="B4" s="18" t="s">
        <v>2</v>
      </c>
      <c r="C4" s="18"/>
      <c r="D4" s="3">
        <v>12500</v>
      </c>
      <c r="E4"/>
      <c r="F4" s="18" t="s">
        <v>11</v>
      </c>
      <c r="G4" s="18"/>
      <c r="H4" s="12">
        <f ca="1">IFERROR(IF(DarlehenIstGut,MonatlicheZahlung,""), "")</f>
        <v>135.65784745060091</v>
      </c>
    </row>
    <row r="5" spans="1:8" ht="20.149999999999999" customHeight="1">
      <c r="B5" s="19" t="s">
        <v>3</v>
      </c>
      <c r="C5" s="19"/>
      <c r="D5" s="4">
        <v>5.5E-2</v>
      </c>
      <c r="E5"/>
      <c r="F5" s="19" t="s">
        <v>12</v>
      </c>
      <c r="G5" s="19"/>
      <c r="H5" s="13">
        <f ca="1">IFERROR(IF(DarlehenIstGut,DarlehensJahre*12,""), "")</f>
        <v>120</v>
      </c>
    </row>
    <row r="6" spans="1:8" ht="20.149999999999999" customHeight="1">
      <c r="B6" s="19" t="s">
        <v>4</v>
      </c>
      <c r="C6" s="19"/>
      <c r="D6" s="5">
        <v>10</v>
      </c>
      <c r="E6"/>
      <c r="F6" s="19" t="s">
        <v>13</v>
      </c>
      <c r="G6" s="19"/>
      <c r="H6" s="14">
        <f ca="1">IFERROR(IF(DarlehenIstGut,DarlehensKostenGesamt-DarlehensBetrag,""), "")</f>
        <v>3778.9416940721094</v>
      </c>
    </row>
    <row r="7" spans="1:8" ht="20.149999999999999" customHeight="1">
      <c r="B7" s="19" t="s">
        <v>5</v>
      </c>
      <c r="C7" s="19"/>
      <c r="D7" s="6">
        <f ca="1">TODAY()</f>
        <v>44150</v>
      </c>
      <c r="E7"/>
      <c r="F7" s="19" t="s">
        <v>14</v>
      </c>
      <c r="G7" s="19"/>
      <c r="H7" s="14">
        <f ca="1">IFERROR(IF(DarlehenIstGut,MonatlicheZahlung*AnzahlZahlungen,""), "")</f>
        <v>16278.941694072109</v>
      </c>
    </row>
    <row r="8" spans="1:8" ht="15" customHeight="1">
      <c r="B8"/>
      <c r="C8"/>
      <c r="D8"/>
      <c r="E8"/>
      <c r="F8"/>
      <c r="G8"/>
      <c r="H8"/>
    </row>
    <row r="9" spans="1:8" ht="29.25" customHeight="1">
      <c r="B9" s="7" t="s">
        <v>6</v>
      </c>
      <c r="C9" s="7" t="s">
        <v>7</v>
      </c>
      <c r="D9" s="8" t="s">
        <v>8</v>
      </c>
      <c r="E9" s="8" t="s">
        <v>9</v>
      </c>
      <c r="F9" s="8" t="s">
        <v>15</v>
      </c>
      <c r="G9" s="8" t="s">
        <v>16</v>
      </c>
      <c r="H9" s="8" t="s">
        <v>17</v>
      </c>
    </row>
    <row r="10" spans="1:8" ht="20.149999999999999" customHeight="1">
      <c r="B10" s="9">
        <f ca="1">IFERROR(IF(DarlehenNichtBezahlt*DarlehenIstGut,ZahlungNummer,""), "")</f>
        <v>1</v>
      </c>
      <c r="C10" s="10">
        <f ca="1">IFERROR(IF(DarlehenNichtBezahlt*DarlehenIstGut,ZahlungsDatum,""), "")</f>
        <v>44180</v>
      </c>
      <c r="D10" s="11">
        <f ca="1">IFERROR(IF(DarlehenNichtBezahlt*DarlehenIstGut,DarlehensWert,""), "")</f>
        <v>12500</v>
      </c>
      <c r="E10" s="11">
        <f ca="1">IFERROR(IF(DarlehenNichtBezahlt*DarlehenIstGut,MonatlicheZahlung,""), "")</f>
        <v>135.65784745060091</v>
      </c>
      <c r="F10" s="11">
        <f ca="1">IFERROR(IF(DarlehenNichtBezahlt*DarlehenIstGut,Kapital,""), "")</f>
        <v>78.36618078393424</v>
      </c>
      <c r="G10" s="11">
        <f ca="1">IFERROR(IF(DarlehenNichtBezahlt*DarlehenIstGut,ZinsBetrag,""), "")</f>
        <v>57.291666666666664</v>
      </c>
      <c r="H10" s="11">
        <f ca="1">IFERROR(IF(DarlehenNichtBezahlt*DarlehenIstGut,AbschlussSaldo,""), "")</f>
        <v>12421.633819216066</v>
      </c>
    </row>
    <row r="11" spans="1:8" ht="20.149999999999999" customHeight="1">
      <c r="B11" s="9">
        <f ca="1">IFERROR(IF(DarlehenNichtBezahlt*DarlehenIstGut,ZahlungNummer,""), "")</f>
        <v>2</v>
      </c>
      <c r="C11" s="10">
        <f ca="1">IFERROR(IF(DarlehenNichtBezahlt*DarlehenIstGut,ZahlungsDatum,""), "")</f>
        <v>44211</v>
      </c>
      <c r="D11" s="11">
        <f ca="1">IFERROR(IF(DarlehenNichtBezahlt*DarlehenIstGut,DarlehensWert,""), "")</f>
        <v>12421.633819216066</v>
      </c>
      <c r="E11" s="11">
        <f ca="1">IFERROR(IF(DarlehenNichtBezahlt*DarlehenIstGut,MonatlicheZahlung,""), "")</f>
        <v>135.65784745060091</v>
      </c>
      <c r="F11" s="11">
        <f ca="1">IFERROR(IF(DarlehenNichtBezahlt*DarlehenIstGut,Kapital,""), "")</f>
        <v>78.725359112527272</v>
      </c>
      <c r="G11" s="11">
        <f ca="1">IFERROR(IF(DarlehenNichtBezahlt*DarlehenIstGut,ZinsBetrag,""), "")</f>
        <v>56.932488338073632</v>
      </c>
      <c r="H11" s="11">
        <f ca="1">IFERROR(IF(DarlehenNichtBezahlt*DarlehenIstGut,AbschlussSaldo,""), "")</f>
        <v>12342.908460103539</v>
      </c>
    </row>
    <row r="12" spans="1:8" ht="20.149999999999999" customHeight="1">
      <c r="B12" s="9">
        <f ca="1">IFERROR(IF(DarlehenNichtBezahlt*DarlehenIstGut,ZahlungNummer,""), "")</f>
        <v>3</v>
      </c>
      <c r="C12" s="10">
        <f ca="1">IFERROR(IF(DarlehenNichtBezahlt*DarlehenIstGut,ZahlungsDatum,""), "")</f>
        <v>44242</v>
      </c>
      <c r="D12" s="11">
        <f ca="1">IFERROR(IF(DarlehenNichtBezahlt*DarlehenIstGut,DarlehensWert,""), "")</f>
        <v>12342.908460103539</v>
      </c>
      <c r="E12" s="11">
        <f ca="1">IFERROR(IF(DarlehenNichtBezahlt*DarlehenIstGut,MonatlicheZahlung,""), "")</f>
        <v>135.65784745060091</v>
      </c>
      <c r="F12" s="11">
        <f ca="1">IFERROR(IF(DarlehenNichtBezahlt*DarlehenIstGut,Kapital,""), "")</f>
        <v>79.086183675126378</v>
      </c>
      <c r="G12" s="11">
        <f ca="1">IFERROR(IF(DarlehenNichtBezahlt*DarlehenIstGut,ZinsBetrag,""), "")</f>
        <v>56.571663775474555</v>
      </c>
      <c r="H12" s="11">
        <f ca="1">IFERROR(IF(DarlehenNichtBezahlt*DarlehenIstGut,AbschlussSaldo,""), "")</f>
        <v>12263.822276428411</v>
      </c>
    </row>
    <row r="13" spans="1:8" ht="20.149999999999999" customHeight="1">
      <c r="B13" s="9">
        <f ca="1">IFERROR(IF(DarlehenNichtBezahlt*DarlehenIstGut,ZahlungNummer,""), "")</f>
        <v>4</v>
      </c>
      <c r="C13" s="10">
        <f ca="1">IFERROR(IF(DarlehenNichtBezahlt*DarlehenIstGut,ZahlungsDatum,""), "")</f>
        <v>44270</v>
      </c>
      <c r="D13" s="11">
        <f ca="1">IFERROR(IF(DarlehenNichtBezahlt*DarlehenIstGut,DarlehensWert,""), "")</f>
        <v>12263.822276428411</v>
      </c>
      <c r="E13" s="11">
        <f ca="1">IFERROR(IF(DarlehenNichtBezahlt*DarlehenIstGut,MonatlicheZahlung,""), "")</f>
        <v>135.65784745060091</v>
      </c>
      <c r="F13" s="11">
        <f ca="1">IFERROR(IF(DarlehenNichtBezahlt*DarlehenIstGut,Kapital,""), "")</f>
        <v>79.448662016970687</v>
      </c>
      <c r="G13" s="11">
        <f ca="1">IFERROR(IF(DarlehenNichtBezahlt*DarlehenIstGut,ZinsBetrag,""), "")</f>
        <v>56.209185433630218</v>
      </c>
      <c r="H13" s="11">
        <f ca="1">IFERROR(IF(DarlehenNichtBezahlt*DarlehenIstGut,AbschlussSaldo,""), "")</f>
        <v>12184.373614411441</v>
      </c>
    </row>
    <row r="14" spans="1:8" ht="20.149999999999999" customHeight="1">
      <c r="B14" s="9">
        <f ca="1">IFERROR(IF(DarlehenNichtBezahlt*DarlehenIstGut,ZahlungNummer,""), "")</f>
        <v>5</v>
      </c>
      <c r="C14" s="10">
        <f ca="1">IFERROR(IF(DarlehenNichtBezahlt*DarlehenIstGut,ZahlungsDatum,""), "")</f>
        <v>44301</v>
      </c>
      <c r="D14" s="11">
        <f ca="1">IFERROR(IF(DarlehenNichtBezahlt*DarlehenIstGut,DarlehensWert,""), "")</f>
        <v>12184.373614411441</v>
      </c>
      <c r="E14" s="11">
        <f ca="1">IFERROR(IF(DarlehenNichtBezahlt*DarlehenIstGut,MonatlicheZahlung,""), "")</f>
        <v>135.65784745060091</v>
      </c>
      <c r="F14" s="11">
        <f ca="1">IFERROR(IF(DarlehenNichtBezahlt*DarlehenIstGut,Kapital,""), "")</f>
        <v>79.812801717881825</v>
      </c>
      <c r="G14" s="11">
        <f ca="1">IFERROR(IF(DarlehenNichtBezahlt*DarlehenIstGut,ZinsBetrag,""), "")</f>
        <v>55.845045732719093</v>
      </c>
      <c r="H14" s="11">
        <f ca="1">IFERROR(IF(DarlehenNichtBezahlt*DarlehenIstGut,AbschlussSaldo,""), "")</f>
        <v>12104.560812693559</v>
      </c>
    </row>
    <row r="15" spans="1:8" ht="20.149999999999999" customHeight="1">
      <c r="B15" s="9">
        <f ca="1">IFERROR(IF(DarlehenNichtBezahlt*DarlehenIstGut,ZahlungNummer,""), "")</f>
        <v>6</v>
      </c>
      <c r="C15" s="10">
        <f ca="1">IFERROR(IF(DarlehenNichtBezahlt*DarlehenIstGut,ZahlungsDatum,""), "")</f>
        <v>44331</v>
      </c>
      <c r="D15" s="11">
        <f ca="1">IFERROR(IF(DarlehenNichtBezahlt*DarlehenIstGut,DarlehensWert,""), "")</f>
        <v>12104.560812693559</v>
      </c>
      <c r="E15" s="11">
        <f ca="1">IFERROR(IF(DarlehenNichtBezahlt*DarlehenIstGut,MonatlicheZahlung,""), "")</f>
        <v>135.65784745060091</v>
      </c>
      <c r="F15" s="11">
        <f ca="1">IFERROR(IF(DarlehenNichtBezahlt*DarlehenIstGut,Kapital,""), "")</f>
        <v>80.178610392422101</v>
      </c>
      <c r="G15" s="11">
        <f ca="1">IFERROR(IF(DarlehenNichtBezahlt*DarlehenIstGut,ZinsBetrag,""), "")</f>
        <v>55.479237058178811</v>
      </c>
      <c r="H15" s="11">
        <f ca="1">IFERROR(IF(DarlehenNichtBezahlt*DarlehenIstGut,AbschlussSaldo,""), "")</f>
        <v>12024.382202301134</v>
      </c>
    </row>
    <row r="16" spans="1:8" ht="20.149999999999999" customHeight="1">
      <c r="B16" s="9">
        <f ca="1">IFERROR(IF(DarlehenNichtBezahlt*DarlehenIstGut,ZahlungNummer,""), "")</f>
        <v>7</v>
      </c>
      <c r="C16" s="10">
        <f ca="1">IFERROR(IF(DarlehenNichtBezahlt*DarlehenIstGut,ZahlungsDatum,""), "")</f>
        <v>44362</v>
      </c>
      <c r="D16" s="11">
        <f ca="1">IFERROR(IF(DarlehenNichtBezahlt*DarlehenIstGut,DarlehensWert,""), "")</f>
        <v>12024.382202301134</v>
      </c>
      <c r="E16" s="11">
        <f ca="1">IFERROR(IF(DarlehenNichtBezahlt*DarlehenIstGut,MonatlicheZahlung,""), "")</f>
        <v>135.65784745060091</v>
      </c>
      <c r="F16" s="11">
        <f ca="1">IFERROR(IF(DarlehenNichtBezahlt*DarlehenIstGut,Kapital,""), "")</f>
        <v>80.546095690054045</v>
      </c>
      <c r="G16" s="11">
        <f ca="1">IFERROR(IF(DarlehenNichtBezahlt*DarlehenIstGut,ZinsBetrag,""), "")</f>
        <v>55.111751760546873</v>
      </c>
      <c r="H16" s="11">
        <f ca="1">IFERROR(IF(DarlehenNichtBezahlt*DarlehenIstGut,AbschlussSaldo,""), "")</f>
        <v>11943.836106611083</v>
      </c>
    </row>
    <row r="17" spans="2:8" ht="20.149999999999999" customHeight="1">
      <c r="B17" s="9">
        <f ca="1">IFERROR(IF(DarlehenNichtBezahlt*DarlehenIstGut,ZahlungNummer,""), "")</f>
        <v>8</v>
      </c>
      <c r="C17" s="10">
        <f ca="1">IFERROR(IF(DarlehenNichtBezahlt*DarlehenIstGut,ZahlungsDatum,""), "")</f>
        <v>44392</v>
      </c>
      <c r="D17" s="11">
        <f ca="1">IFERROR(IF(DarlehenNichtBezahlt*DarlehenIstGut,DarlehensWert,""), "")</f>
        <v>11943.836106611083</v>
      </c>
      <c r="E17" s="11">
        <f ca="1">IFERROR(IF(DarlehenNichtBezahlt*DarlehenIstGut,MonatlicheZahlung,""), "")</f>
        <v>135.65784745060091</v>
      </c>
      <c r="F17" s="11">
        <f ca="1">IFERROR(IF(DarlehenNichtBezahlt*DarlehenIstGut,Kapital,""), "")</f>
        <v>80.915265295300117</v>
      </c>
      <c r="G17" s="11">
        <f ca="1">IFERROR(IF(DarlehenNichtBezahlt*DarlehenIstGut,ZinsBetrag,""), "")</f>
        <v>54.742582155300795</v>
      </c>
      <c r="H17" s="11">
        <f ca="1">IFERROR(IF(DarlehenNichtBezahlt*DarlehenIstGut,AbschlussSaldo,""), "")</f>
        <v>11862.920841315783</v>
      </c>
    </row>
    <row r="18" spans="2:8" ht="20.149999999999999" customHeight="1">
      <c r="B18" s="9">
        <f ca="1">IFERROR(IF(DarlehenNichtBezahlt*DarlehenIstGut,ZahlungNummer,""), "")</f>
        <v>9</v>
      </c>
      <c r="C18" s="10">
        <f ca="1">IFERROR(IF(DarlehenNichtBezahlt*DarlehenIstGut,ZahlungsDatum,""), "")</f>
        <v>44423</v>
      </c>
      <c r="D18" s="11">
        <f ca="1">IFERROR(IF(DarlehenNichtBezahlt*DarlehenIstGut,DarlehensWert,""), "")</f>
        <v>11862.920841315783</v>
      </c>
      <c r="E18" s="11">
        <f ca="1">IFERROR(IF(DarlehenNichtBezahlt*DarlehenIstGut,MonatlicheZahlung,""), "")</f>
        <v>135.65784745060091</v>
      </c>
      <c r="F18" s="11">
        <f ca="1">IFERROR(IF(DarlehenNichtBezahlt*DarlehenIstGut,Kapital,""), "")</f>
        <v>81.286126927903595</v>
      </c>
      <c r="G18" s="11">
        <f ca="1">IFERROR(IF(DarlehenNichtBezahlt*DarlehenIstGut,ZinsBetrag,""), "")</f>
        <v>54.371720522697331</v>
      </c>
      <c r="H18" s="11">
        <f ca="1">IFERROR(IF(DarlehenNichtBezahlt*DarlehenIstGut,AbschlussSaldo,""), "")</f>
        <v>11781.634714387879</v>
      </c>
    </row>
    <row r="19" spans="2:8" ht="20.149999999999999" customHeight="1">
      <c r="B19" s="9">
        <f ca="1">IFERROR(IF(DarlehenNichtBezahlt*DarlehenIstGut,ZahlungNummer,""), "")</f>
        <v>10</v>
      </c>
      <c r="C19" s="10">
        <f ca="1">IFERROR(IF(DarlehenNichtBezahlt*DarlehenIstGut,ZahlungsDatum,""), "")</f>
        <v>44454</v>
      </c>
      <c r="D19" s="11">
        <f ca="1">IFERROR(IF(DarlehenNichtBezahlt*DarlehenIstGut,DarlehensWert,""), "")</f>
        <v>11781.634714387879</v>
      </c>
      <c r="E19" s="11">
        <f ca="1">IFERROR(IF(DarlehenNichtBezahlt*DarlehenIstGut,MonatlicheZahlung,""), "")</f>
        <v>135.65784745060091</v>
      </c>
      <c r="F19" s="11">
        <f ca="1">IFERROR(IF(DarlehenNichtBezahlt*DarlehenIstGut,Kapital,""), "")</f>
        <v>81.658688342989805</v>
      </c>
      <c r="G19" s="11">
        <f ca="1">IFERROR(IF(DarlehenNichtBezahlt*DarlehenIstGut,ZinsBetrag,""), "")</f>
        <v>53.999159107611106</v>
      </c>
      <c r="H19" s="11">
        <f ca="1">IFERROR(IF(DarlehenNichtBezahlt*DarlehenIstGut,AbschlussSaldo,""), "")</f>
        <v>11699.976026044887</v>
      </c>
    </row>
    <row r="20" spans="2:8" ht="20.149999999999999" customHeight="1">
      <c r="B20" s="9">
        <f ca="1">IFERROR(IF(DarlehenNichtBezahlt*DarlehenIstGut,ZahlungNummer,""), "")</f>
        <v>11</v>
      </c>
      <c r="C20" s="10">
        <f ca="1">IFERROR(IF(DarlehenNichtBezahlt*DarlehenIstGut,ZahlungsDatum,""), "")</f>
        <v>44484</v>
      </c>
      <c r="D20" s="11">
        <f ca="1">IFERROR(IF(DarlehenNichtBezahlt*DarlehenIstGut,DarlehensWert,""), "")</f>
        <v>11699.976026044887</v>
      </c>
      <c r="E20" s="11">
        <f ca="1">IFERROR(IF(DarlehenNichtBezahlt*DarlehenIstGut,MonatlicheZahlung,""), "")</f>
        <v>135.65784745060091</v>
      </c>
      <c r="F20" s="11">
        <f ca="1">IFERROR(IF(DarlehenNichtBezahlt*DarlehenIstGut,Kapital,""), "")</f>
        <v>82.032957331228516</v>
      </c>
      <c r="G20" s="11">
        <f ca="1">IFERROR(IF(DarlehenNichtBezahlt*DarlehenIstGut,ZinsBetrag,""), "")</f>
        <v>53.624890119372409</v>
      </c>
      <c r="H20" s="11">
        <f ca="1">IFERROR(IF(DarlehenNichtBezahlt*DarlehenIstGut,AbschlussSaldo,""), "")</f>
        <v>11617.943068713659</v>
      </c>
    </row>
    <row r="21" spans="2:8" ht="20.149999999999999" customHeight="1">
      <c r="B21" s="9">
        <f ca="1">IFERROR(IF(DarlehenNichtBezahlt*DarlehenIstGut,ZahlungNummer,""), "")</f>
        <v>12</v>
      </c>
      <c r="C21" s="10">
        <f ca="1">IFERROR(IF(DarlehenNichtBezahlt*DarlehenIstGut,ZahlungsDatum,""), "")</f>
        <v>44515</v>
      </c>
      <c r="D21" s="11">
        <f ca="1">IFERROR(IF(DarlehenNichtBezahlt*DarlehenIstGut,DarlehensWert,""), "")</f>
        <v>11617.943068713659</v>
      </c>
      <c r="E21" s="11">
        <f ca="1">IFERROR(IF(DarlehenNichtBezahlt*DarlehenIstGut,MonatlicheZahlung,""), "")</f>
        <v>135.65784745060091</v>
      </c>
      <c r="F21" s="11">
        <f ca="1">IFERROR(IF(DarlehenNichtBezahlt*DarlehenIstGut,Kapital,""), "")</f>
        <v>82.408941718996644</v>
      </c>
      <c r="G21" s="11">
        <f ca="1">IFERROR(IF(DarlehenNichtBezahlt*DarlehenIstGut,ZinsBetrag,""), "")</f>
        <v>53.248905731604275</v>
      </c>
      <c r="H21" s="11">
        <f ca="1">IFERROR(IF(DarlehenNichtBezahlt*DarlehenIstGut,AbschlussSaldo,""), "")</f>
        <v>11535.534126994664</v>
      </c>
    </row>
    <row r="22" spans="2:8" ht="20.149999999999999" customHeight="1">
      <c r="B22" s="9">
        <f ca="1">IFERROR(IF(DarlehenNichtBezahlt*DarlehenIstGut,ZahlungNummer,""), "")</f>
        <v>13</v>
      </c>
      <c r="C22" s="10">
        <f ca="1">IFERROR(IF(DarlehenNichtBezahlt*DarlehenIstGut,ZahlungsDatum,""), "")</f>
        <v>44545</v>
      </c>
      <c r="D22" s="11">
        <f ca="1">IFERROR(IF(DarlehenNichtBezahlt*DarlehenIstGut,DarlehensWert,""), "")</f>
        <v>11535.534126994664</v>
      </c>
      <c r="E22" s="11">
        <f ca="1">IFERROR(IF(DarlehenNichtBezahlt*DarlehenIstGut,MonatlicheZahlung,""), "")</f>
        <v>135.65784745060091</v>
      </c>
      <c r="F22" s="11">
        <f ca="1">IFERROR(IF(DarlehenNichtBezahlt*DarlehenIstGut,Kapital,""), "")</f>
        <v>82.786649368542029</v>
      </c>
      <c r="G22" s="11">
        <f ca="1">IFERROR(IF(DarlehenNichtBezahlt*DarlehenIstGut,ZinsBetrag,""), "")</f>
        <v>52.871198082058868</v>
      </c>
      <c r="H22" s="11">
        <f ca="1">IFERROR(IF(DarlehenNichtBezahlt*DarlehenIstGut,AbschlussSaldo,""), "")</f>
        <v>11452.747477626122</v>
      </c>
    </row>
    <row r="23" spans="2:8" ht="20.149999999999999" customHeight="1">
      <c r="B23" s="9">
        <f ca="1">IFERROR(IF(DarlehenNichtBezahlt*DarlehenIstGut,ZahlungNummer,""), "")</f>
        <v>14</v>
      </c>
      <c r="C23" s="10">
        <f ca="1">IFERROR(IF(DarlehenNichtBezahlt*DarlehenIstGut,ZahlungsDatum,""), "")</f>
        <v>44576</v>
      </c>
      <c r="D23" s="11">
        <f ca="1">IFERROR(IF(DarlehenNichtBezahlt*DarlehenIstGut,DarlehensWert,""), "")</f>
        <v>11452.747477626122</v>
      </c>
      <c r="E23" s="11">
        <f ca="1">IFERROR(IF(DarlehenNichtBezahlt*DarlehenIstGut,MonatlicheZahlung,""), "")</f>
        <v>135.65784745060091</v>
      </c>
      <c r="F23" s="11">
        <f ca="1">IFERROR(IF(DarlehenNichtBezahlt*DarlehenIstGut,Kapital,""), "")</f>
        <v>83.166088178147859</v>
      </c>
      <c r="G23" s="11">
        <f ca="1">IFERROR(IF(DarlehenNichtBezahlt*DarlehenIstGut,ZinsBetrag,""), "")</f>
        <v>52.491759272453052</v>
      </c>
      <c r="H23" s="11">
        <f ca="1">IFERROR(IF(DarlehenNichtBezahlt*DarlehenIstGut,AbschlussSaldo,""), "")</f>
        <v>11369.581389447972</v>
      </c>
    </row>
    <row r="24" spans="2:8" ht="20.149999999999999" customHeight="1">
      <c r="B24" s="9">
        <f ca="1">IFERROR(IF(DarlehenNichtBezahlt*DarlehenIstGut,ZahlungNummer,""), "")</f>
        <v>15</v>
      </c>
      <c r="C24" s="10">
        <f ca="1">IFERROR(IF(DarlehenNichtBezahlt*DarlehenIstGut,ZahlungsDatum,""), "")</f>
        <v>44607</v>
      </c>
      <c r="D24" s="11">
        <f ca="1">IFERROR(IF(DarlehenNichtBezahlt*DarlehenIstGut,DarlehensWert,""), "")</f>
        <v>11369.581389447972</v>
      </c>
      <c r="E24" s="11">
        <f ca="1">IFERROR(IF(DarlehenNichtBezahlt*DarlehenIstGut,MonatlicheZahlung,""), "")</f>
        <v>135.65784745060091</v>
      </c>
      <c r="F24" s="11">
        <f ca="1">IFERROR(IF(DarlehenNichtBezahlt*DarlehenIstGut,Kapital,""), "")</f>
        <v>83.547266082297696</v>
      </c>
      <c r="G24" s="11">
        <f ca="1">IFERROR(IF(DarlehenNichtBezahlt*DarlehenIstGut,ZinsBetrag,""), "")</f>
        <v>52.110581368303208</v>
      </c>
      <c r="H24" s="11">
        <f ca="1">IFERROR(IF(DarlehenNichtBezahlt*DarlehenIstGut,AbschlussSaldo,""), "")</f>
        <v>11286.034123365676</v>
      </c>
    </row>
    <row r="25" spans="2:8" ht="20.149999999999999" customHeight="1">
      <c r="B25" s="9">
        <f ca="1">IFERROR(IF(DarlehenNichtBezahlt*DarlehenIstGut,ZahlungNummer,""), "")</f>
        <v>16</v>
      </c>
      <c r="C25" s="10">
        <f ca="1">IFERROR(IF(DarlehenNichtBezahlt*DarlehenIstGut,ZahlungsDatum,""), "")</f>
        <v>44635</v>
      </c>
      <c r="D25" s="11">
        <f ca="1">IFERROR(IF(DarlehenNichtBezahlt*DarlehenIstGut,DarlehensWert,""), "")</f>
        <v>11286.034123365676</v>
      </c>
      <c r="E25" s="11">
        <f ca="1">IFERROR(IF(DarlehenNichtBezahlt*DarlehenIstGut,MonatlicheZahlung,""), "")</f>
        <v>135.65784745060091</v>
      </c>
      <c r="F25" s="11">
        <f ca="1">IFERROR(IF(DarlehenNichtBezahlt*DarlehenIstGut,Kapital,""), "")</f>
        <v>83.930191051841561</v>
      </c>
      <c r="G25" s="11">
        <f ca="1">IFERROR(IF(DarlehenNichtBezahlt*DarlehenIstGut,ZinsBetrag,""), "")</f>
        <v>51.727656398759351</v>
      </c>
      <c r="H25" s="11">
        <f ca="1">IFERROR(IF(DarlehenNichtBezahlt*DarlehenIstGut,AbschlussSaldo,""), "")</f>
        <v>11202.103932313834</v>
      </c>
    </row>
    <row r="26" spans="2:8" ht="20.149999999999999" customHeight="1">
      <c r="B26" s="9">
        <f ca="1">IFERROR(IF(DarlehenNichtBezahlt*DarlehenIstGut,ZahlungNummer,""), "")</f>
        <v>17</v>
      </c>
      <c r="C26" s="10">
        <f ca="1">IFERROR(IF(DarlehenNichtBezahlt*DarlehenIstGut,ZahlungsDatum,""), "")</f>
        <v>44666</v>
      </c>
      <c r="D26" s="11">
        <f ca="1">IFERROR(IF(DarlehenNichtBezahlt*DarlehenIstGut,DarlehensWert,""), "")</f>
        <v>11202.103932313834</v>
      </c>
      <c r="E26" s="11">
        <f ca="1">IFERROR(IF(DarlehenNichtBezahlt*DarlehenIstGut,MonatlicheZahlung,""), "")</f>
        <v>135.65784745060091</v>
      </c>
      <c r="F26" s="11">
        <f ca="1">IFERROR(IF(DarlehenNichtBezahlt*DarlehenIstGut,Kapital,""), "")</f>
        <v>84.314871094162513</v>
      </c>
      <c r="G26" s="11">
        <f ca="1">IFERROR(IF(DarlehenNichtBezahlt*DarlehenIstGut,ZinsBetrag,""), "")</f>
        <v>51.342976356438406</v>
      </c>
      <c r="H26" s="11">
        <f ca="1">IFERROR(IF(DarlehenNichtBezahlt*DarlehenIstGut,AbschlussSaldo,""), "")</f>
        <v>11117.78906121967</v>
      </c>
    </row>
    <row r="27" spans="2:8" ht="20.149999999999999" customHeight="1">
      <c r="B27" s="9">
        <f ca="1">IFERROR(IF(DarlehenNichtBezahlt*DarlehenIstGut,ZahlungNummer,""), "")</f>
        <v>18</v>
      </c>
      <c r="C27" s="10">
        <f ca="1">IFERROR(IF(DarlehenNichtBezahlt*DarlehenIstGut,ZahlungsDatum,""), "")</f>
        <v>44696</v>
      </c>
      <c r="D27" s="11">
        <f ca="1">IFERROR(IF(DarlehenNichtBezahlt*DarlehenIstGut,DarlehensWert,""), "")</f>
        <v>11117.78906121967</v>
      </c>
      <c r="E27" s="11">
        <f ca="1">IFERROR(IF(DarlehenNichtBezahlt*DarlehenIstGut,MonatlicheZahlung,""), "")</f>
        <v>135.65784745060091</v>
      </c>
      <c r="F27" s="11">
        <f ca="1">IFERROR(IF(DarlehenNichtBezahlt*DarlehenIstGut,Kapital,""), "")</f>
        <v>84.70131425334408</v>
      </c>
      <c r="G27" s="11">
        <f ca="1">IFERROR(IF(DarlehenNichtBezahlt*DarlehenIstGut,ZinsBetrag,""), "")</f>
        <v>50.956533197256832</v>
      </c>
      <c r="H27" s="11">
        <f ca="1">IFERROR(IF(DarlehenNichtBezahlt*DarlehenIstGut,AbschlussSaldo,""), "")</f>
        <v>11033.087746966325</v>
      </c>
    </row>
    <row r="28" spans="2:8" ht="20.149999999999999" customHeight="1">
      <c r="B28" s="9">
        <f ca="1">IFERROR(IF(DarlehenNichtBezahlt*DarlehenIstGut,ZahlungNummer,""), "")</f>
        <v>19</v>
      </c>
      <c r="C28" s="10">
        <f ca="1">IFERROR(IF(DarlehenNichtBezahlt*DarlehenIstGut,ZahlungsDatum,""), "")</f>
        <v>44727</v>
      </c>
      <c r="D28" s="11">
        <f ca="1">IFERROR(IF(DarlehenNichtBezahlt*DarlehenIstGut,DarlehensWert,""), "")</f>
        <v>11033.087746966325</v>
      </c>
      <c r="E28" s="11">
        <f ca="1">IFERROR(IF(DarlehenNichtBezahlt*DarlehenIstGut,MonatlicheZahlung,""), "")</f>
        <v>135.65784745060091</v>
      </c>
      <c r="F28" s="11">
        <f ca="1">IFERROR(IF(DarlehenNichtBezahlt*DarlehenIstGut,Kapital,""), "")</f>
        <v>85.089528610338576</v>
      </c>
      <c r="G28" s="11">
        <f ca="1">IFERROR(IF(DarlehenNichtBezahlt*DarlehenIstGut,ZinsBetrag,""), "")</f>
        <v>50.56831884026235</v>
      </c>
      <c r="H28" s="11">
        <f ca="1">IFERROR(IF(DarlehenNichtBezahlt*DarlehenIstGut,AbschlussSaldo,""), "")</f>
        <v>10947.998218355988</v>
      </c>
    </row>
    <row r="29" spans="2:8" ht="20.149999999999999" customHeight="1">
      <c r="B29" s="9">
        <f ca="1">IFERROR(IF(DarlehenNichtBezahlt*DarlehenIstGut,ZahlungNummer,""), "")</f>
        <v>20</v>
      </c>
      <c r="C29" s="10">
        <f ca="1">IFERROR(IF(DarlehenNichtBezahlt*DarlehenIstGut,ZahlungsDatum,""), "")</f>
        <v>44757</v>
      </c>
      <c r="D29" s="11">
        <f ca="1">IFERROR(IF(DarlehenNichtBezahlt*DarlehenIstGut,DarlehensWert,""), "")</f>
        <v>10947.998218355988</v>
      </c>
      <c r="E29" s="11">
        <f ca="1">IFERROR(IF(DarlehenNichtBezahlt*DarlehenIstGut,MonatlicheZahlung,""), "")</f>
        <v>135.65784745060091</v>
      </c>
      <c r="F29" s="11">
        <f ca="1">IFERROR(IF(DarlehenNichtBezahlt*DarlehenIstGut,Kapital,""), "")</f>
        <v>85.479522283135964</v>
      </c>
      <c r="G29" s="11">
        <f ca="1">IFERROR(IF(DarlehenNichtBezahlt*DarlehenIstGut,ZinsBetrag,""), "")</f>
        <v>50.178325167464955</v>
      </c>
      <c r="H29" s="11">
        <f ca="1">IFERROR(IF(DarlehenNichtBezahlt*DarlehenIstGut,AbschlussSaldo,""), "")</f>
        <v>10862.518696072852</v>
      </c>
    </row>
    <row r="30" spans="2:8" ht="20.149999999999999" customHeight="1">
      <c r="B30" s="9">
        <f ca="1">IFERROR(IF(DarlehenNichtBezahlt*DarlehenIstGut,ZahlungNummer,""), "")</f>
        <v>21</v>
      </c>
      <c r="C30" s="10">
        <f ca="1">IFERROR(IF(DarlehenNichtBezahlt*DarlehenIstGut,ZahlungsDatum,""), "")</f>
        <v>44788</v>
      </c>
      <c r="D30" s="11">
        <f ca="1">IFERROR(IF(DarlehenNichtBezahlt*DarlehenIstGut,DarlehensWert,""), "")</f>
        <v>10862.518696072852</v>
      </c>
      <c r="E30" s="11">
        <f ca="1">IFERROR(IF(DarlehenNichtBezahlt*DarlehenIstGut,MonatlicheZahlung,""), "")</f>
        <v>135.65784745060091</v>
      </c>
      <c r="F30" s="11">
        <f ca="1">IFERROR(IF(DarlehenNichtBezahlt*DarlehenIstGut,Kapital,""), "")</f>
        <v>85.871303426933665</v>
      </c>
      <c r="G30" s="11">
        <f ca="1">IFERROR(IF(DarlehenNichtBezahlt*DarlehenIstGut,ZinsBetrag,""), "")</f>
        <v>49.78654402366724</v>
      </c>
      <c r="H30" s="11">
        <f ca="1">IFERROR(IF(DarlehenNichtBezahlt*DarlehenIstGut,AbschlussSaldo,""), "")</f>
        <v>10776.647392645918</v>
      </c>
    </row>
    <row r="31" spans="2:8" ht="20.149999999999999" customHeight="1">
      <c r="B31" s="9">
        <f ca="1">IFERROR(IF(DarlehenNichtBezahlt*DarlehenIstGut,ZahlungNummer,""), "")</f>
        <v>22</v>
      </c>
      <c r="C31" s="10">
        <f ca="1">IFERROR(IF(DarlehenNichtBezahlt*DarlehenIstGut,ZahlungsDatum,""), "")</f>
        <v>44819</v>
      </c>
      <c r="D31" s="11">
        <f ca="1">IFERROR(IF(DarlehenNichtBezahlt*DarlehenIstGut,DarlehensWert,""), "")</f>
        <v>10776.647392645918</v>
      </c>
      <c r="E31" s="11">
        <f ca="1">IFERROR(IF(DarlehenNichtBezahlt*DarlehenIstGut,MonatlicheZahlung,""), "")</f>
        <v>135.65784745060091</v>
      </c>
      <c r="F31" s="11">
        <f ca="1">IFERROR(IF(DarlehenNichtBezahlt*DarlehenIstGut,Kapital,""), "")</f>
        <v>86.264880234307114</v>
      </c>
      <c r="G31" s="11">
        <f ca="1">IFERROR(IF(DarlehenNichtBezahlt*DarlehenIstGut,ZinsBetrag,""), "")</f>
        <v>49.392967216293805</v>
      </c>
      <c r="H31" s="11">
        <f ca="1">IFERROR(IF(DarlehenNichtBezahlt*DarlehenIstGut,AbschlussSaldo,""), "")</f>
        <v>10690.382512411608</v>
      </c>
    </row>
    <row r="32" spans="2:8" ht="20.149999999999999" customHeight="1">
      <c r="B32" s="9">
        <f ca="1">IFERROR(IF(DarlehenNichtBezahlt*DarlehenIstGut,ZahlungNummer,""), "")</f>
        <v>23</v>
      </c>
      <c r="C32" s="10">
        <f ca="1">IFERROR(IF(DarlehenNichtBezahlt*DarlehenIstGut,ZahlungsDatum,""), "")</f>
        <v>44849</v>
      </c>
      <c r="D32" s="11">
        <f ca="1">IFERROR(IF(DarlehenNichtBezahlt*DarlehenIstGut,DarlehensWert,""), "")</f>
        <v>10690.382512411608</v>
      </c>
      <c r="E32" s="11">
        <f ca="1">IFERROR(IF(DarlehenNichtBezahlt*DarlehenIstGut,MonatlicheZahlung,""), "")</f>
        <v>135.65784745060091</v>
      </c>
      <c r="F32" s="11">
        <f ca="1">IFERROR(IF(DarlehenNichtBezahlt*DarlehenIstGut,Kapital,""), "")</f>
        <v>86.660260935381018</v>
      </c>
      <c r="G32" s="11">
        <f ca="1">IFERROR(IF(DarlehenNichtBezahlt*DarlehenIstGut,ZinsBetrag,""), "")</f>
        <v>48.997586515219879</v>
      </c>
      <c r="H32" s="11">
        <f ca="1">IFERROR(IF(DarlehenNichtBezahlt*DarlehenIstGut,AbschlussSaldo,""), "")</f>
        <v>10603.722251476229</v>
      </c>
    </row>
    <row r="33" spans="2:8" ht="20.149999999999999" customHeight="1">
      <c r="B33" s="9">
        <f ca="1">IFERROR(IF(DarlehenNichtBezahlt*DarlehenIstGut,ZahlungNummer,""), "")</f>
        <v>24</v>
      </c>
      <c r="C33" s="10">
        <f ca="1">IFERROR(IF(DarlehenNichtBezahlt*DarlehenIstGut,ZahlungsDatum,""), "")</f>
        <v>44880</v>
      </c>
      <c r="D33" s="11">
        <f ca="1">IFERROR(IF(DarlehenNichtBezahlt*DarlehenIstGut,DarlehensWert,""), "")</f>
        <v>10603.722251476229</v>
      </c>
      <c r="E33" s="11">
        <f ca="1">IFERROR(IF(DarlehenNichtBezahlt*DarlehenIstGut,MonatlicheZahlung,""), "")</f>
        <v>135.65784745060091</v>
      </c>
      <c r="F33" s="11">
        <f ca="1">IFERROR(IF(DarlehenNichtBezahlt*DarlehenIstGut,Kapital,""), "")</f>
        <v>87.057453798001518</v>
      </c>
      <c r="G33" s="11">
        <f ca="1">IFERROR(IF(DarlehenNichtBezahlt*DarlehenIstGut,ZinsBetrag,""), "")</f>
        <v>48.600393652599394</v>
      </c>
      <c r="H33" s="11">
        <f ca="1">IFERROR(IF(DarlehenNichtBezahlt*DarlehenIstGut,AbschlussSaldo,""), "")</f>
        <v>10516.664797678226</v>
      </c>
    </row>
    <row r="34" spans="2:8" ht="20.149999999999999" customHeight="1">
      <c r="B34" s="9">
        <f ca="1">IFERROR(IF(DarlehenNichtBezahlt*DarlehenIstGut,ZahlungNummer,""), "")</f>
        <v>25</v>
      </c>
      <c r="C34" s="10">
        <f ca="1">IFERROR(IF(DarlehenNichtBezahlt*DarlehenIstGut,ZahlungsDatum,""), "")</f>
        <v>44910</v>
      </c>
      <c r="D34" s="11">
        <f ca="1">IFERROR(IF(DarlehenNichtBezahlt*DarlehenIstGut,DarlehensWert,""), "")</f>
        <v>10516.664797678226</v>
      </c>
      <c r="E34" s="11">
        <f ca="1">IFERROR(IF(DarlehenNichtBezahlt*DarlehenIstGut,MonatlicheZahlung,""), "")</f>
        <v>135.65784745060091</v>
      </c>
      <c r="F34" s="11">
        <f ca="1">IFERROR(IF(DarlehenNichtBezahlt*DarlehenIstGut,Kapital,""), "")</f>
        <v>87.456467127909022</v>
      </c>
      <c r="G34" s="11">
        <f ca="1">IFERROR(IF(DarlehenNichtBezahlt*DarlehenIstGut,ZinsBetrag,""), "")</f>
        <v>48.20138032269189</v>
      </c>
      <c r="H34" s="11">
        <f ca="1">IFERROR(IF(DarlehenNichtBezahlt*DarlehenIstGut,AbschlussSaldo,""), "")</f>
        <v>10429.20833055032</v>
      </c>
    </row>
    <row r="35" spans="2:8" ht="20.149999999999999" customHeight="1">
      <c r="B35" s="9">
        <f ca="1">IFERROR(IF(DarlehenNichtBezahlt*DarlehenIstGut,ZahlungNummer,""), "")</f>
        <v>26</v>
      </c>
      <c r="C35" s="10">
        <f ca="1">IFERROR(IF(DarlehenNichtBezahlt*DarlehenIstGut,ZahlungsDatum,""), "")</f>
        <v>44941</v>
      </c>
      <c r="D35" s="11">
        <f ca="1">IFERROR(IF(DarlehenNichtBezahlt*DarlehenIstGut,DarlehensWert,""), "")</f>
        <v>10429.20833055032</v>
      </c>
      <c r="E35" s="11">
        <f ca="1">IFERROR(IF(DarlehenNichtBezahlt*DarlehenIstGut,MonatlicheZahlung,""), "")</f>
        <v>135.65784745060091</v>
      </c>
      <c r="F35" s="11">
        <f ca="1">IFERROR(IF(DarlehenNichtBezahlt*DarlehenIstGut,Kapital,""), "")</f>
        <v>87.857309268911948</v>
      </c>
      <c r="G35" s="11">
        <f ca="1">IFERROR(IF(DarlehenNichtBezahlt*DarlehenIstGut,ZinsBetrag,""), "")</f>
        <v>47.800538181688978</v>
      </c>
      <c r="H35" s="11">
        <f ca="1">IFERROR(IF(DarlehenNichtBezahlt*DarlehenIstGut,AbschlussSaldo,""), "")</f>
        <v>10341.351021281407</v>
      </c>
    </row>
    <row r="36" spans="2:8" ht="20.149999999999999" customHeight="1">
      <c r="B36" s="9">
        <f ca="1">IFERROR(IF(DarlehenNichtBezahlt*DarlehenIstGut,ZahlungNummer,""), "")</f>
        <v>27</v>
      </c>
      <c r="C36" s="10">
        <f ca="1">IFERROR(IF(DarlehenNichtBezahlt*DarlehenIstGut,ZahlungsDatum,""), "")</f>
        <v>44972</v>
      </c>
      <c r="D36" s="11">
        <f ca="1">IFERROR(IF(DarlehenNichtBezahlt*DarlehenIstGut,DarlehensWert,""), "")</f>
        <v>10341.351021281407</v>
      </c>
      <c r="E36" s="11">
        <f ca="1">IFERROR(IF(DarlehenNichtBezahlt*DarlehenIstGut,MonatlicheZahlung,""), "")</f>
        <v>135.65784745060091</v>
      </c>
      <c r="F36" s="11">
        <f ca="1">IFERROR(IF(DarlehenNichtBezahlt*DarlehenIstGut,Kapital,""), "")</f>
        <v>88.259988603061132</v>
      </c>
      <c r="G36" s="11">
        <f ca="1">IFERROR(IF(DarlehenNichtBezahlt*DarlehenIstGut,ZinsBetrag,""), "")</f>
        <v>47.397858847539794</v>
      </c>
      <c r="H36" s="11">
        <f ca="1">IFERROR(IF(DarlehenNichtBezahlt*DarlehenIstGut,AbschlussSaldo,""), "")</f>
        <v>10253.091032678345</v>
      </c>
    </row>
    <row r="37" spans="2:8" ht="20.149999999999999" customHeight="1">
      <c r="B37" s="9">
        <f ca="1">IFERROR(IF(DarlehenNichtBezahlt*DarlehenIstGut,ZahlungNummer,""), "")</f>
        <v>28</v>
      </c>
      <c r="C37" s="10">
        <f ca="1">IFERROR(IF(DarlehenNichtBezahlt*DarlehenIstGut,ZahlungsDatum,""), "")</f>
        <v>45000</v>
      </c>
      <c r="D37" s="11">
        <f ca="1">IFERROR(IF(DarlehenNichtBezahlt*DarlehenIstGut,DarlehensWert,""), "")</f>
        <v>10253.091032678345</v>
      </c>
      <c r="E37" s="11">
        <f ca="1">IFERROR(IF(DarlehenNichtBezahlt*DarlehenIstGut,MonatlicheZahlung,""), "")</f>
        <v>135.65784745060091</v>
      </c>
      <c r="F37" s="11">
        <f ca="1">IFERROR(IF(DarlehenNichtBezahlt*DarlehenIstGut,Kapital,""), "")</f>
        <v>88.664513550825149</v>
      </c>
      <c r="G37" s="11">
        <f ca="1">IFERROR(IF(DarlehenNichtBezahlt*DarlehenIstGut,ZinsBetrag,""), "")</f>
        <v>46.993333899775763</v>
      </c>
      <c r="H37" s="11">
        <f ca="1">IFERROR(IF(DarlehenNichtBezahlt*DarlehenIstGut,AbschlussSaldo,""), "")</f>
        <v>10164.426519127521</v>
      </c>
    </row>
    <row r="38" spans="2:8" ht="20.149999999999999" customHeight="1">
      <c r="B38" s="9">
        <f ca="1">IFERROR(IF(DarlehenNichtBezahlt*DarlehenIstGut,ZahlungNummer,""), "")</f>
        <v>29</v>
      </c>
      <c r="C38" s="10">
        <f ca="1">IFERROR(IF(DarlehenNichtBezahlt*DarlehenIstGut,ZahlungsDatum,""), "")</f>
        <v>45031</v>
      </c>
      <c r="D38" s="11">
        <f ca="1">IFERROR(IF(DarlehenNichtBezahlt*DarlehenIstGut,DarlehensWert,""), "")</f>
        <v>10164.426519127521</v>
      </c>
      <c r="E38" s="11">
        <f ca="1">IFERROR(IF(DarlehenNichtBezahlt*DarlehenIstGut,MonatlicheZahlung,""), "")</f>
        <v>135.65784745060091</v>
      </c>
      <c r="F38" s="11">
        <f ca="1">IFERROR(IF(DarlehenNichtBezahlt*DarlehenIstGut,Kapital,""), "")</f>
        <v>89.070892571266427</v>
      </c>
      <c r="G38" s="11">
        <f ca="1">IFERROR(IF(DarlehenNichtBezahlt*DarlehenIstGut,ZinsBetrag,""), "")</f>
        <v>46.586954879334478</v>
      </c>
      <c r="H38" s="11">
        <f ca="1">IFERROR(IF(DarlehenNichtBezahlt*DarlehenIstGut,AbschlussSaldo,""), "")</f>
        <v>10075.355626556251</v>
      </c>
    </row>
    <row r="39" spans="2:8" ht="20.149999999999999" customHeight="1">
      <c r="B39" s="9">
        <f ca="1">IFERROR(IF(DarlehenNichtBezahlt*DarlehenIstGut,ZahlungNummer,""), "")</f>
        <v>30</v>
      </c>
      <c r="C39" s="10">
        <f ca="1">IFERROR(IF(DarlehenNichtBezahlt*DarlehenIstGut,ZahlungsDatum,""), "")</f>
        <v>45061</v>
      </c>
      <c r="D39" s="11">
        <f ca="1">IFERROR(IF(DarlehenNichtBezahlt*DarlehenIstGut,DarlehensWert,""), "")</f>
        <v>10075.355626556251</v>
      </c>
      <c r="E39" s="11">
        <f ca="1">IFERROR(IF(DarlehenNichtBezahlt*DarlehenIstGut,MonatlicheZahlung,""), "")</f>
        <v>135.65784745060091</v>
      </c>
      <c r="F39" s="11">
        <f ca="1">IFERROR(IF(DarlehenNichtBezahlt*DarlehenIstGut,Kapital,""), "")</f>
        <v>89.479134162218074</v>
      </c>
      <c r="G39" s="11">
        <f ca="1">IFERROR(IF(DarlehenNichtBezahlt*DarlehenIstGut,ZinsBetrag,""), "")</f>
        <v>46.178713288382838</v>
      </c>
      <c r="H39" s="11">
        <f ca="1">IFERROR(IF(DarlehenNichtBezahlt*DarlehenIstGut,AbschlussSaldo,""), "")</f>
        <v>9985.8764923940362</v>
      </c>
    </row>
    <row r="40" spans="2:8" ht="20.149999999999999" customHeight="1">
      <c r="B40" s="9">
        <f ca="1">IFERROR(IF(DarlehenNichtBezahlt*DarlehenIstGut,ZahlungNummer,""), "")</f>
        <v>31</v>
      </c>
      <c r="C40" s="10">
        <f ca="1">IFERROR(IF(DarlehenNichtBezahlt*DarlehenIstGut,ZahlungsDatum,""), "")</f>
        <v>45092</v>
      </c>
      <c r="D40" s="11">
        <f ca="1">IFERROR(IF(DarlehenNichtBezahlt*DarlehenIstGut,DarlehensWert,""), "")</f>
        <v>9985.8764923940362</v>
      </c>
      <c r="E40" s="11">
        <f ca="1">IFERROR(IF(DarlehenNichtBezahlt*DarlehenIstGut,MonatlicheZahlung,""), "")</f>
        <v>135.65784745060091</v>
      </c>
      <c r="F40" s="11">
        <f ca="1">IFERROR(IF(DarlehenNichtBezahlt*DarlehenIstGut,Kapital,""), "")</f>
        <v>89.889246860461583</v>
      </c>
      <c r="G40" s="11">
        <f ca="1">IFERROR(IF(DarlehenNichtBezahlt*DarlehenIstGut,ZinsBetrag,""), "")</f>
        <v>45.768600590139343</v>
      </c>
      <c r="H40" s="11">
        <f ca="1">IFERROR(IF(DarlehenNichtBezahlt*DarlehenIstGut,AbschlussSaldo,""), "")</f>
        <v>9895.9872455335753</v>
      </c>
    </row>
    <row r="41" spans="2:8" ht="20.149999999999999" customHeight="1">
      <c r="B41" s="9">
        <f ca="1">IFERROR(IF(DarlehenNichtBezahlt*DarlehenIstGut,ZahlungNummer,""), "")</f>
        <v>32</v>
      </c>
      <c r="C41" s="10">
        <f ca="1">IFERROR(IF(DarlehenNichtBezahlt*DarlehenIstGut,ZahlungsDatum,""), "")</f>
        <v>45122</v>
      </c>
      <c r="D41" s="11">
        <f ca="1">IFERROR(IF(DarlehenNichtBezahlt*DarlehenIstGut,DarlehensWert,""), "")</f>
        <v>9895.9872455335753</v>
      </c>
      <c r="E41" s="11">
        <f ca="1">IFERROR(IF(DarlehenNichtBezahlt*DarlehenIstGut,MonatlicheZahlung,""), "")</f>
        <v>135.65784745060091</v>
      </c>
      <c r="F41" s="11">
        <f ca="1">IFERROR(IF(DarlehenNichtBezahlt*DarlehenIstGut,Kapital,""), "")</f>
        <v>90.30123924190535</v>
      </c>
      <c r="G41" s="11">
        <f ca="1">IFERROR(IF(DarlehenNichtBezahlt*DarlehenIstGut,ZinsBetrag,""), "")</f>
        <v>45.356608208695555</v>
      </c>
      <c r="H41" s="11">
        <f ca="1">IFERROR(IF(DarlehenNichtBezahlt*DarlehenIstGut,AbschlussSaldo,""), "")</f>
        <v>9805.6860062916676</v>
      </c>
    </row>
    <row r="42" spans="2:8" ht="20.149999999999999" customHeight="1">
      <c r="B42" s="9">
        <f ca="1">IFERROR(IF(DarlehenNichtBezahlt*DarlehenIstGut,ZahlungNummer,""), "")</f>
        <v>33</v>
      </c>
      <c r="C42" s="10">
        <f ca="1">IFERROR(IF(DarlehenNichtBezahlt*DarlehenIstGut,ZahlungsDatum,""), "")</f>
        <v>45153</v>
      </c>
      <c r="D42" s="11">
        <f ca="1">IFERROR(IF(DarlehenNichtBezahlt*DarlehenIstGut,DarlehensWert,""), "")</f>
        <v>9805.6860062916676</v>
      </c>
      <c r="E42" s="11">
        <f ca="1">IFERROR(IF(DarlehenNichtBezahlt*DarlehenIstGut,MonatlicheZahlung,""), "")</f>
        <v>135.65784745060091</v>
      </c>
      <c r="F42" s="11">
        <f ca="1">IFERROR(IF(DarlehenNichtBezahlt*DarlehenIstGut,Kapital,""), "")</f>
        <v>90.715119921764085</v>
      </c>
      <c r="G42" s="11">
        <f ca="1">IFERROR(IF(DarlehenNichtBezahlt*DarlehenIstGut,ZinsBetrag,""), "")</f>
        <v>44.942727528836819</v>
      </c>
      <c r="H42" s="11">
        <f ca="1">IFERROR(IF(DarlehenNichtBezahlt*DarlehenIstGut,AbschlussSaldo,""), "")</f>
        <v>9714.9708863699016</v>
      </c>
    </row>
    <row r="43" spans="2:8" ht="20.149999999999999" customHeight="1">
      <c r="B43" s="9">
        <f ca="1">IFERROR(IF(DarlehenNichtBezahlt*DarlehenIstGut,ZahlungNummer,""), "")</f>
        <v>34</v>
      </c>
      <c r="C43" s="10">
        <f ca="1">IFERROR(IF(DarlehenNichtBezahlt*DarlehenIstGut,ZahlungsDatum,""), "")</f>
        <v>45184</v>
      </c>
      <c r="D43" s="11">
        <f ca="1">IFERROR(IF(DarlehenNichtBezahlt*DarlehenIstGut,DarlehensWert,""), "")</f>
        <v>9714.9708863699016</v>
      </c>
      <c r="E43" s="11">
        <f ca="1">IFERROR(IF(DarlehenNichtBezahlt*DarlehenIstGut,MonatlicheZahlung,""), "")</f>
        <v>135.65784745060091</v>
      </c>
      <c r="F43" s="11">
        <f ca="1">IFERROR(IF(DarlehenNichtBezahlt*DarlehenIstGut,Kapital,""), "")</f>
        <v>91.130897554738851</v>
      </c>
      <c r="G43" s="11">
        <f ca="1">IFERROR(IF(DarlehenNichtBezahlt*DarlehenIstGut,ZinsBetrag,""), "")</f>
        <v>44.526949895862067</v>
      </c>
      <c r="H43" s="11">
        <f ca="1">IFERROR(IF(DarlehenNichtBezahlt*DarlehenIstGut,AbschlussSaldo,""), "")</f>
        <v>9623.8399888151616</v>
      </c>
    </row>
    <row r="44" spans="2:8" ht="20.149999999999999" customHeight="1">
      <c r="B44" s="9">
        <f ca="1">IFERROR(IF(DarlehenNichtBezahlt*DarlehenIstGut,ZahlungNummer,""), "")</f>
        <v>35</v>
      </c>
      <c r="C44" s="10">
        <f ca="1">IFERROR(IF(DarlehenNichtBezahlt*DarlehenIstGut,ZahlungsDatum,""), "")</f>
        <v>45214</v>
      </c>
      <c r="D44" s="11">
        <f ca="1">IFERROR(IF(DarlehenNichtBezahlt*DarlehenIstGut,DarlehensWert,""), "")</f>
        <v>9623.8399888151616</v>
      </c>
      <c r="E44" s="11">
        <f ca="1">IFERROR(IF(DarlehenNichtBezahlt*DarlehenIstGut,MonatlicheZahlung,""), "")</f>
        <v>135.65784745060091</v>
      </c>
      <c r="F44" s="11">
        <f ca="1">IFERROR(IF(DarlehenNichtBezahlt*DarlehenIstGut,Kapital,""), "")</f>
        <v>91.548580835198052</v>
      </c>
      <c r="G44" s="11">
        <f ca="1">IFERROR(IF(DarlehenNichtBezahlt*DarlehenIstGut,ZinsBetrag,""), "")</f>
        <v>44.109266615402852</v>
      </c>
      <c r="H44" s="11">
        <f ca="1">IFERROR(IF(DarlehenNichtBezahlt*DarlehenIstGut,AbschlussSaldo,""), "")</f>
        <v>9532.291407979963</v>
      </c>
    </row>
    <row r="45" spans="2:8" ht="20.149999999999999" customHeight="1">
      <c r="B45" s="9">
        <f ca="1">IFERROR(IF(DarlehenNichtBezahlt*DarlehenIstGut,ZahlungNummer,""), "")</f>
        <v>36</v>
      </c>
      <c r="C45" s="10">
        <f ca="1">IFERROR(IF(DarlehenNichtBezahlt*DarlehenIstGut,ZahlungsDatum,""), "")</f>
        <v>45245</v>
      </c>
      <c r="D45" s="11">
        <f ca="1">IFERROR(IF(DarlehenNichtBezahlt*DarlehenIstGut,DarlehensWert,""), "")</f>
        <v>9532.291407979963</v>
      </c>
      <c r="E45" s="11">
        <f ca="1">IFERROR(IF(DarlehenNichtBezahlt*DarlehenIstGut,MonatlicheZahlung,""), "")</f>
        <v>135.65784745060091</v>
      </c>
      <c r="F45" s="11">
        <f ca="1">IFERROR(IF(DarlehenNichtBezahlt*DarlehenIstGut,Kapital,""), "")</f>
        <v>91.968178497359375</v>
      </c>
      <c r="G45" s="11">
        <f ca="1">IFERROR(IF(DarlehenNichtBezahlt*DarlehenIstGut,ZinsBetrag,""), "")</f>
        <v>43.689668953241529</v>
      </c>
      <c r="H45" s="11">
        <f ca="1">IFERROR(IF(DarlehenNichtBezahlt*DarlehenIstGut,AbschlussSaldo,""), "")</f>
        <v>9440.3232294826048</v>
      </c>
    </row>
    <row r="46" spans="2:8" ht="20.149999999999999" customHeight="1">
      <c r="B46" s="9">
        <f ca="1">IFERROR(IF(DarlehenNichtBezahlt*DarlehenIstGut,ZahlungNummer,""), "")</f>
        <v>37</v>
      </c>
      <c r="C46" s="10">
        <f ca="1">IFERROR(IF(DarlehenNichtBezahlt*DarlehenIstGut,ZahlungsDatum,""), "")</f>
        <v>45275</v>
      </c>
      <c r="D46" s="11">
        <f ca="1">IFERROR(IF(DarlehenNichtBezahlt*DarlehenIstGut,DarlehensWert,""), "")</f>
        <v>9440.3232294826048</v>
      </c>
      <c r="E46" s="11">
        <f ca="1">IFERROR(IF(DarlehenNichtBezahlt*DarlehenIstGut,MonatlicheZahlung,""), "")</f>
        <v>135.65784745060091</v>
      </c>
      <c r="F46" s="11">
        <f ca="1">IFERROR(IF(DarlehenNichtBezahlt*DarlehenIstGut,Kapital,""), "")</f>
        <v>92.389699315472271</v>
      </c>
      <c r="G46" s="11">
        <f ca="1">IFERROR(IF(DarlehenNichtBezahlt*DarlehenIstGut,ZinsBetrag,""), "")</f>
        <v>43.268148135128634</v>
      </c>
      <c r="H46" s="11">
        <f ca="1">IFERROR(IF(DarlehenNichtBezahlt*DarlehenIstGut,AbschlussSaldo,""), "")</f>
        <v>9347.9335301671308</v>
      </c>
    </row>
    <row r="47" spans="2:8" ht="20.149999999999999" customHeight="1">
      <c r="B47" s="9">
        <f ca="1">IFERROR(IF(DarlehenNichtBezahlt*DarlehenIstGut,ZahlungNummer,""), "")</f>
        <v>38</v>
      </c>
      <c r="C47" s="10">
        <f ca="1">IFERROR(IF(DarlehenNichtBezahlt*DarlehenIstGut,ZahlungsDatum,""), "")</f>
        <v>45306</v>
      </c>
      <c r="D47" s="11">
        <f ca="1">IFERROR(IF(DarlehenNichtBezahlt*DarlehenIstGut,DarlehensWert,""), "")</f>
        <v>9347.9335301671308</v>
      </c>
      <c r="E47" s="11">
        <f ca="1">IFERROR(IF(DarlehenNichtBezahlt*DarlehenIstGut,MonatlicheZahlung,""), "")</f>
        <v>135.65784745060091</v>
      </c>
      <c r="F47" s="11">
        <f ca="1">IFERROR(IF(DarlehenNichtBezahlt*DarlehenIstGut,Kapital,""), "")</f>
        <v>92.813152104001531</v>
      </c>
      <c r="G47" s="11">
        <f ca="1">IFERROR(IF(DarlehenNichtBezahlt*DarlehenIstGut,ZinsBetrag,""), "")</f>
        <v>42.84469534659938</v>
      </c>
      <c r="H47" s="11">
        <f ca="1">IFERROR(IF(DarlehenNichtBezahlt*DarlehenIstGut,AbschlussSaldo,""), "")</f>
        <v>9255.1203780631295</v>
      </c>
    </row>
    <row r="48" spans="2:8" ht="20.149999999999999" customHeight="1">
      <c r="B48" s="9">
        <f ca="1">IFERROR(IF(DarlehenNichtBezahlt*DarlehenIstGut,ZahlungNummer,""), "")</f>
        <v>39</v>
      </c>
      <c r="C48" s="10">
        <f ca="1">IFERROR(IF(DarlehenNichtBezahlt*DarlehenIstGut,ZahlungsDatum,""), "")</f>
        <v>45337</v>
      </c>
      <c r="D48" s="11">
        <f ca="1">IFERROR(IF(DarlehenNichtBezahlt*DarlehenIstGut,DarlehensWert,""), "")</f>
        <v>9255.1203780631295</v>
      </c>
      <c r="E48" s="11">
        <f ca="1">IFERROR(IF(DarlehenNichtBezahlt*DarlehenIstGut,MonatlicheZahlung,""), "")</f>
        <v>135.65784745060091</v>
      </c>
      <c r="F48" s="11">
        <f ca="1">IFERROR(IF(DarlehenNichtBezahlt*DarlehenIstGut,Kapital,""), "")</f>
        <v>93.238545717811533</v>
      </c>
      <c r="G48" s="11">
        <f ca="1">IFERROR(IF(DarlehenNichtBezahlt*DarlehenIstGut,ZinsBetrag,""), "")</f>
        <v>42.419301732789378</v>
      </c>
      <c r="H48" s="11">
        <f ca="1">IFERROR(IF(DarlehenNichtBezahlt*DarlehenIstGut,AbschlussSaldo,""), "")</f>
        <v>9161.8818323453197</v>
      </c>
    </row>
    <row r="49" spans="2:8" ht="20.149999999999999" customHeight="1">
      <c r="B49" s="9">
        <f ca="1">IFERROR(IF(DarlehenNichtBezahlt*DarlehenIstGut,ZahlungNummer,""), "")</f>
        <v>40</v>
      </c>
      <c r="C49" s="10">
        <f ca="1">IFERROR(IF(DarlehenNichtBezahlt*DarlehenIstGut,ZahlungsDatum,""), "")</f>
        <v>45366</v>
      </c>
      <c r="D49" s="11">
        <f ca="1">IFERROR(IF(DarlehenNichtBezahlt*DarlehenIstGut,DarlehensWert,""), "")</f>
        <v>9161.8818323453197</v>
      </c>
      <c r="E49" s="11">
        <f ca="1">IFERROR(IF(DarlehenNichtBezahlt*DarlehenIstGut,MonatlicheZahlung,""), "")</f>
        <v>135.65784745060091</v>
      </c>
      <c r="F49" s="11">
        <f ca="1">IFERROR(IF(DarlehenNichtBezahlt*DarlehenIstGut,Kapital,""), "")</f>
        <v>93.665889052351488</v>
      </c>
      <c r="G49" s="11">
        <f ca="1">IFERROR(IF(DarlehenNichtBezahlt*DarlehenIstGut,ZinsBetrag,""), "")</f>
        <v>41.991958398249409</v>
      </c>
      <c r="H49" s="11">
        <f ca="1">IFERROR(IF(DarlehenNichtBezahlt*DarlehenIstGut,AbschlussSaldo,""), "")</f>
        <v>9068.2159432929693</v>
      </c>
    </row>
    <row r="50" spans="2:8" ht="20.149999999999999" customHeight="1">
      <c r="B50" s="9">
        <f ca="1">IFERROR(IF(DarlehenNichtBezahlt*DarlehenIstGut,ZahlungNummer,""), "")</f>
        <v>41</v>
      </c>
      <c r="C50" s="10">
        <f ca="1">IFERROR(IF(DarlehenNichtBezahlt*DarlehenIstGut,ZahlungsDatum,""), "")</f>
        <v>45397</v>
      </c>
      <c r="D50" s="11">
        <f ca="1">IFERROR(IF(DarlehenNichtBezahlt*DarlehenIstGut,DarlehensWert,""), "")</f>
        <v>9068.2159432929693</v>
      </c>
      <c r="E50" s="11">
        <f ca="1">IFERROR(IF(DarlehenNichtBezahlt*DarlehenIstGut,MonatlicheZahlung,""), "")</f>
        <v>135.65784745060091</v>
      </c>
      <c r="F50" s="11">
        <f ca="1">IFERROR(IF(DarlehenNichtBezahlt*DarlehenIstGut,Kapital,""), "")</f>
        <v>94.095191043841439</v>
      </c>
      <c r="G50" s="11">
        <f ca="1">IFERROR(IF(DarlehenNichtBezahlt*DarlehenIstGut,ZinsBetrag,""), "")</f>
        <v>41.562656406759459</v>
      </c>
      <c r="H50" s="11">
        <f ca="1">IFERROR(IF(DarlehenNichtBezahlt*DarlehenIstGut,AbschlussSaldo,""), "")</f>
        <v>8974.1207522491259</v>
      </c>
    </row>
    <row r="51" spans="2:8" ht="20.149999999999999" customHeight="1">
      <c r="B51" s="9">
        <f ca="1">IFERROR(IF(DarlehenNichtBezahlt*DarlehenIstGut,ZahlungNummer,""), "")</f>
        <v>42</v>
      </c>
      <c r="C51" s="10">
        <f ca="1">IFERROR(IF(DarlehenNichtBezahlt*DarlehenIstGut,ZahlungsDatum,""), "")</f>
        <v>45427</v>
      </c>
      <c r="D51" s="11">
        <f ca="1">IFERROR(IF(DarlehenNichtBezahlt*DarlehenIstGut,DarlehensWert,""), "")</f>
        <v>8974.1207522491259</v>
      </c>
      <c r="E51" s="11">
        <f ca="1">IFERROR(IF(DarlehenNichtBezahlt*DarlehenIstGut,MonatlicheZahlung,""), "")</f>
        <v>135.65784745060091</v>
      </c>
      <c r="F51" s="11">
        <f ca="1">IFERROR(IF(DarlehenNichtBezahlt*DarlehenIstGut,Kapital,""), "")</f>
        <v>94.526460669459055</v>
      </c>
      <c r="G51" s="11">
        <f ca="1">IFERROR(IF(DarlehenNichtBezahlt*DarlehenIstGut,ZinsBetrag,""), "")</f>
        <v>41.131386781141863</v>
      </c>
      <c r="H51" s="11">
        <f ca="1">IFERROR(IF(DarlehenNichtBezahlt*DarlehenIstGut,AbschlussSaldo,""), "")</f>
        <v>8879.5942915796659</v>
      </c>
    </row>
    <row r="52" spans="2:8" ht="20.149999999999999" customHeight="1">
      <c r="B52" s="9">
        <f ca="1">IFERROR(IF(DarlehenNichtBezahlt*DarlehenIstGut,ZahlungNummer,""), "")</f>
        <v>43</v>
      </c>
      <c r="C52" s="10">
        <f ca="1">IFERROR(IF(DarlehenNichtBezahlt*DarlehenIstGut,ZahlungsDatum,""), "")</f>
        <v>45458</v>
      </c>
      <c r="D52" s="11">
        <f ca="1">IFERROR(IF(DarlehenNichtBezahlt*DarlehenIstGut,DarlehensWert,""), "")</f>
        <v>8879.5942915796659</v>
      </c>
      <c r="E52" s="11">
        <f ca="1">IFERROR(IF(DarlehenNichtBezahlt*DarlehenIstGut,MonatlicheZahlung,""), "")</f>
        <v>135.65784745060091</v>
      </c>
      <c r="F52" s="11">
        <f ca="1">IFERROR(IF(DarlehenNichtBezahlt*DarlehenIstGut,Kapital,""), "")</f>
        <v>94.959706947527408</v>
      </c>
      <c r="G52" s="11">
        <f ca="1">IFERROR(IF(DarlehenNichtBezahlt*DarlehenIstGut,ZinsBetrag,""), "")</f>
        <v>40.698140503073496</v>
      </c>
      <c r="H52" s="11">
        <f ca="1">IFERROR(IF(DarlehenNichtBezahlt*DarlehenIstGut,AbschlussSaldo,""), "")</f>
        <v>8784.6345846321365</v>
      </c>
    </row>
    <row r="53" spans="2:8" ht="20.149999999999999" customHeight="1">
      <c r="B53" s="9">
        <f ca="1">IFERROR(IF(DarlehenNichtBezahlt*DarlehenIstGut,ZahlungNummer,""), "")</f>
        <v>44</v>
      </c>
      <c r="C53" s="10">
        <f ca="1">IFERROR(IF(DarlehenNichtBezahlt*DarlehenIstGut,ZahlungsDatum,""), "")</f>
        <v>45488</v>
      </c>
      <c r="D53" s="11">
        <f ca="1">IFERROR(IF(DarlehenNichtBezahlt*DarlehenIstGut,DarlehensWert,""), "")</f>
        <v>8784.6345846321365</v>
      </c>
      <c r="E53" s="11">
        <f ca="1">IFERROR(IF(DarlehenNichtBezahlt*DarlehenIstGut,MonatlicheZahlung,""), "")</f>
        <v>135.65784745060091</v>
      </c>
      <c r="F53" s="11">
        <f ca="1">IFERROR(IF(DarlehenNichtBezahlt*DarlehenIstGut,Kapital,""), "")</f>
        <v>95.394938937703571</v>
      </c>
      <c r="G53" s="11">
        <f ca="1">IFERROR(IF(DarlehenNichtBezahlt*DarlehenIstGut,ZinsBetrag,""), "")</f>
        <v>40.262908512897333</v>
      </c>
      <c r="H53" s="11">
        <f ca="1">IFERROR(IF(DarlehenNichtBezahlt*DarlehenIstGut,AbschlussSaldo,""), "")</f>
        <v>8689.2396456944407</v>
      </c>
    </row>
    <row r="54" spans="2:8" ht="20.149999999999999" customHeight="1">
      <c r="B54" s="9">
        <f ca="1">IFERROR(IF(DarlehenNichtBezahlt*DarlehenIstGut,ZahlungNummer,""), "")</f>
        <v>45</v>
      </c>
      <c r="C54" s="10">
        <f ca="1">IFERROR(IF(DarlehenNichtBezahlt*DarlehenIstGut,ZahlungsDatum,""), "")</f>
        <v>45519</v>
      </c>
      <c r="D54" s="11">
        <f ca="1">IFERROR(IF(DarlehenNichtBezahlt*DarlehenIstGut,DarlehensWert,""), "")</f>
        <v>8689.2396456944407</v>
      </c>
      <c r="E54" s="11">
        <f ca="1">IFERROR(IF(DarlehenNichtBezahlt*DarlehenIstGut,MonatlicheZahlung,""), "")</f>
        <v>135.65784745060091</v>
      </c>
      <c r="F54" s="11">
        <f ca="1">IFERROR(IF(DarlehenNichtBezahlt*DarlehenIstGut,Kapital,""), "")</f>
        <v>95.832165741168041</v>
      </c>
      <c r="G54" s="11">
        <f ca="1">IFERROR(IF(DarlehenNichtBezahlt*DarlehenIstGut,ZinsBetrag,""), "")</f>
        <v>39.825681709432857</v>
      </c>
      <c r="H54" s="11">
        <f ca="1">IFERROR(IF(DarlehenNichtBezahlt*DarlehenIstGut,AbschlussSaldo,""), "")</f>
        <v>8593.4074799532682</v>
      </c>
    </row>
    <row r="55" spans="2:8" ht="20.149999999999999" customHeight="1">
      <c r="B55" s="9">
        <f ca="1">IFERROR(IF(DarlehenNichtBezahlt*DarlehenIstGut,ZahlungNummer,""), "")</f>
        <v>46</v>
      </c>
      <c r="C55" s="10">
        <f ca="1">IFERROR(IF(DarlehenNichtBezahlt*DarlehenIstGut,ZahlungsDatum,""), "")</f>
        <v>45550</v>
      </c>
      <c r="D55" s="11">
        <f ca="1">IFERROR(IF(DarlehenNichtBezahlt*DarlehenIstGut,DarlehensWert,""), "")</f>
        <v>8593.4074799532682</v>
      </c>
      <c r="E55" s="11">
        <f ca="1">IFERROR(IF(DarlehenNichtBezahlt*DarlehenIstGut,MonatlicheZahlung,""), "")</f>
        <v>135.65784745060091</v>
      </c>
      <c r="F55" s="11">
        <f ca="1">IFERROR(IF(DarlehenNichtBezahlt*DarlehenIstGut,Kapital,""), "")</f>
        <v>96.271396500815086</v>
      </c>
      <c r="G55" s="11">
        <f ca="1">IFERROR(IF(DarlehenNichtBezahlt*DarlehenIstGut,ZinsBetrag,""), "")</f>
        <v>39.386450949785839</v>
      </c>
      <c r="H55" s="11">
        <f ca="1">IFERROR(IF(DarlehenNichtBezahlt*DarlehenIstGut,AbschlussSaldo,""), "")</f>
        <v>8497.1360834524512</v>
      </c>
    </row>
    <row r="56" spans="2:8" ht="20.149999999999999" customHeight="1">
      <c r="B56" s="9">
        <f ca="1">IFERROR(IF(DarlehenNichtBezahlt*DarlehenIstGut,ZahlungNummer,""), "")</f>
        <v>47</v>
      </c>
      <c r="C56" s="10">
        <f ca="1">IFERROR(IF(DarlehenNichtBezahlt*DarlehenIstGut,ZahlungsDatum,""), "")</f>
        <v>45580</v>
      </c>
      <c r="D56" s="11">
        <f ca="1">IFERROR(IF(DarlehenNichtBezahlt*DarlehenIstGut,DarlehensWert,""), "")</f>
        <v>8497.1360834524512</v>
      </c>
      <c r="E56" s="11">
        <f ca="1">IFERROR(IF(DarlehenNichtBezahlt*DarlehenIstGut,MonatlicheZahlung,""), "")</f>
        <v>135.65784745060091</v>
      </c>
      <c r="F56" s="11">
        <f ca="1">IFERROR(IF(DarlehenNichtBezahlt*DarlehenIstGut,Kapital,""), "")</f>
        <v>96.712640401443807</v>
      </c>
      <c r="G56" s="11">
        <f ca="1">IFERROR(IF(DarlehenNichtBezahlt*DarlehenIstGut,ZinsBetrag,""), "")</f>
        <v>38.945207049157105</v>
      </c>
      <c r="H56" s="11">
        <f ca="1">IFERROR(IF(DarlehenNichtBezahlt*DarlehenIstGut,AbschlussSaldo,""), "")</f>
        <v>8400.4234430510114</v>
      </c>
    </row>
    <row r="57" spans="2:8" ht="20.149999999999999" customHeight="1">
      <c r="B57" s="9">
        <f ca="1">IFERROR(IF(DarlehenNichtBezahlt*DarlehenIstGut,ZahlungNummer,""), "")</f>
        <v>48</v>
      </c>
      <c r="C57" s="10">
        <f ca="1">IFERROR(IF(DarlehenNichtBezahlt*DarlehenIstGut,ZahlungsDatum,""), "")</f>
        <v>45611</v>
      </c>
      <c r="D57" s="11">
        <f ca="1">IFERROR(IF(DarlehenNichtBezahlt*DarlehenIstGut,DarlehensWert,""), "")</f>
        <v>8400.4234430510114</v>
      </c>
      <c r="E57" s="11">
        <f ca="1">IFERROR(IF(DarlehenNichtBezahlt*DarlehenIstGut,MonatlicheZahlung,""), "")</f>
        <v>135.65784745060091</v>
      </c>
      <c r="F57" s="11">
        <f ca="1">IFERROR(IF(DarlehenNichtBezahlt*DarlehenIstGut,Kapital,""), "")</f>
        <v>97.155906669950426</v>
      </c>
      <c r="G57" s="11">
        <f ca="1">IFERROR(IF(DarlehenNichtBezahlt*DarlehenIstGut,ZinsBetrag,""), "")</f>
        <v>38.501940780650486</v>
      </c>
      <c r="H57" s="11">
        <f ca="1">IFERROR(IF(DarlehenNichtBezahlt*DarlehenIstGut,AbschlussSaldo,""), "")</f>
        <v>8303.2675363810595</v>
      </c>
    </row>
    <row r="58" spans="2:8" ht="20.149999999999999" customHeight="1">
      <c r="B58" s="9">
        <f ca="1">IFERROR(IF(DarlehenNichtBezahlt*DarlehenIstGut,ZahlungNummer,""), "")</f>
        <v>49</v>
      </c>
      <c r="C58" s="10">
        <f ca="1">IFERROR(IF(DarlehenNichtBezahlt*DarlehenIstGut,ZahlungsDatum,""), "")</f>
        <v>45641</v>
      </c>
      <c r="D58" s="11">
        <f ca="1">IFERROR(IF(DarlehenNichtBezahlt*DarlehenIstGut,DarlehensWert,""), "")</f>
        <v>8303.2675363810595</v>
      </c>
      <c r="E58" s="11">
        <f ca="1">IFERROR(IF(DarlehenNichtBezahlt*DarlehenIstGut,MonatlicheZahlung,""), "")</f>
        <v>135.65784745060091</v>
      </c>
      <c r="F58" s="11">
        <f ca="1">IFERROR(IF(DarlehenNichtBezahlt*DarlehenIstGut,Kapital,""), "")</f>
        <v>97.601204575521038</v>
      </c>
      <c r="G58" s="11">
        <f ca="1">IFERROR(IF(DarlehenNichtBezahlt*DarlehenIstGut,ZinsBetrag,""), "")</f>
        <v>38.056642875079881</v>
      </c>
      <c r="H58" s="11">
        <f ca="1">IFERROR(IF(DarlehenNichtBezahlt*DarlehenIstGut,AbschlussSaldo,""), "")</f>
        <v>8205.6663318055362</v>
      </c>
    </row>
    <row r="59" spans="2:8" ht="20.149999999999999" customHeight="1">
      <c r="B59" s="9">
        <f ca="1">IFERROR(IF(DarlehenNichtBezahlt*DarlehenIstGut,ZahlungNummer,""), "")</f>
        <v>50</v>
      </c>
      <c r="C59" s="10">
        <f ca="1">IFERROR(IF(DarlehenNichtBezahlt*DarlehenIstGut,ZahlungsDatum,""), "")</f>
        <v>45672</v>
      </c>
      <c r="D59" s="11">
        <f ca="1">IFERROR(IF(DarlehenNichtBezahlt*DarlehenIstGut,DarlehensWert,""), "")</f>
        <v>8205.6663318055362</v>
      </c>
      <c r="E59" s="11">
        <f ca="1">IFERROR(IF(DarlehenNichtBezahlt*DarlehenIstGut,MonatlicheZahlung,""), "")</f>
        <v>135.65784745060091</v>
      </c>
      <c r="F59" s="11">
        <f ca="1">IFERROR(IF(DarlehenNichtBezahlt*DarlehenIstGut,Kapital,""), "")</f>
        <v>98.0485434298255</v>
      </c>
      <c r="G59" s="11">
        <f ca="1">IFERROR(IF(DarlehenNichtBezahlt*DarlehenIstGut,ZinsBetrag,""), "")</f>
        <v>37.609304020775404</v>
      </c>
      <c r="H59" s="11">
        <f ca="1">IFERROR(IF(DarlehenNichtBezahlt*DarlehenIstGut,AbschlussSaldo,""), "")</f>
        <v>8107.6177883757109</v>
      </c>
    </row>
    <row r="60" spans="2:8" ht="20.149999999999999" customHeight="1">
      <c r="B60" s="9">
        <f ca="1">IFERROR(IF(DarlehenNichtBezahlt*DarlehenIstGut,ZahlungNummer,""), "")</f>
        <v>51</v>
      </c>
      <c r="C60" s="10">
        <f ca="1">IFERROR(IF(DarlehenNichtBezahlt*DarlehenIstGut,ZahlungsDatum,""), "")</f>
        <v>45703</v>
      </c>
      <c r="D60" s="11">
        <f ca="1">IFERROR(IF(DarlehenNichtBezahlt*DarlehenIstGut,DarlehensWert,""), "")</f>
        <v>8107.6177883757109</v>
      </c>
      <c r="E60" s="11">
        <f ca="1">IFERROR(IF(DarlehenNichtBezahlt*DarlehenIstGut,MonatlicheZahlung,""), "")</f>
        <v>135.65784745060091</v>
      </c>
      <c r="F60" s="11">
        <f ca="1">IFERROR(IF(DarlehenNichtBezahlt*DarlehenIstGut,Kapital,""), "")</f>
        <v>98.497932587212205</v>
      </c>
      <c r="G60" s="11">
        <f ca="1">IFERROR(IF(DarlehenNichtBezahlt*DarlehenIstGut,ZinsBetrag,""), "")</f>
        <v>37.159914863388707</v>
      </c>
      <c r="H60" s="11">
        <f ca="1">IFERROR(IF(DarlehenNichtBezahlt*DarlehenIstGut,AbschlussSaldo,""), "")</f>
        <v>8009.1198557884982</v>
      </c>
    </row>
    <row r="61" spans="2:8" ht="20.149999999999999" customHeight="1">
      <c r="B61" s="9">
        <f ca="1">IFERROR(IF(DarlehenNichtBezahlt*DarlehenIstGut,ZahlungNummer,""), "")</f>
        <v>52</v>
      </c>
      <c r="C61" s="10">
        <f ca="1">IFERROR(IF(DarlehenNichtBezahlt*DarlehenIstGut,ZahlungsDatum,""), "")</f>
        <v>45731</v>
      </c>
      <c r="D61" s="11">
        <f ca="1">IFERROR(IF(DarlehenNichtBezahlt*DarlehenIstGut,DarlehensWert,""), "")</f>
        <v>8009.1198557884982</v>
      </c>
      <c r="E61" s="11">
        <f ca="1">IFERROR(IF(DarlehenNichtBezahlt*DarlehenIstGut,MonatlicheZahlung,""), "")</f>
        <v>135.65784745060091</v>
      </c>
      <c r="F61" s="11">
        <f ca="1">IFERROR(IF(DarlehenNichtBezahlt*DarlehenIstGut,Kapital,""), "")</f>
        <v>98.949381444903608</v>
      </c>
      <c r="G61" s="11">
        <f ca="1">IFERROR(IF(DarlehenNichtBezahlt*DarlehenIstGut,ZinsBetrag,""), "")</f>
        <v>36.708466005697311</v>
      </c>
      <c r="H61" s="11">
        <f ca="1">IFERROR(IF(DarlehenNichtBezahlt*DarlehenIstGut,AbschlussSaldo,""), "")</f>
        <v>7910.1704743435939</v>
      </c>
    </row>
    <row r="62" spans="2:8" ht="20.149999999999999" customHeight="1">
      <c r="B62" s="9">
        <f ca="1">IFERROR(IF(DarlehenNichtBezahlt*DarlehenIstGut,ZahlungNummer,""), "")</f>
        <v>53</v>
      </c>
      <c r="C62" s="10">
        <f ca="1">IFERROR(IF(DarlehenNichtBezahlt*DarlehenIstGut,ZahlungsDatum,""), "")</f>
        <v>45762</v>
      </c>
      <c r="D62" s="11">
        <f ca="1">IFERROR(IF(DarlehenNichtBezahlt*DarlehenIstGut,DarlehensWert,""), "")</f>
        <v>7910.1704743435939</v>
      </c>
      <c r="E62" s="11">
        <f ca="1">IFERROR(IF(DarlehenNichtBezahlt*DarlehenIstGut,MonatlicheZahlung,""), "")</f>
        <v>135.65784745060091</v>
      </c>
      <c r="F62" s="11">
        <f ca="1">IFERROR(IF(DarlehenNichtBezahlt*DarlehenIstGut,Kapital,""), "")</f>
        <v>99.402899443192737</v>
      </c>
      <c r="G62" s="11">
        <f ca="1">IFERROR(IF(DarlehenNichtBezahlt*DarlehenIstGut,ZinsBetrag,""), "")</f>
        <v>36.254948007408167</v>
      </c>
      <c r="H62" s="11">
        <f ca="1">IFERROR(IF(DarlehenNichtBezahlt*DarlehenIstGut,AbschlussSaldo,""), "")</f>
        <v>7810.7675749003984</v>
      </c>
    </row>
    <row r="63" spans="2:8" ht="20.149999999999999" customHeight="1">
      <c r="B63" s="9">
        <f ca="1">IFERROR(IF(DarlehenNichtBezahlt*DarlehenIstGut,ZahlungNummer,""), "")</f>
        <v>54</v>
      </c>
      <c r="C63" s="10">
        <f ca="1">IFERROR(IF(DarlehenNichtBezahlt*DarlehenIstGut,ZahlungsDatum,""), "")</f>
        <v>45792</v>
      </c>
      <c r="D63" s="11">
        <f ca="1">IFERROR(IF(DarlehenNichtBezahlt*DarlehenIstGut,DarlehensWert,""), "")</f>
        <v>7810.7675749003984</v>
      </c>
      <c r="E63" s="11">
        <f ca="1">IFERROR(IF(DarlehenNichtBezahlt*DarlehenIstGut,MonatlicheZahlung,""), "")</f>
        <v>135.65784745060091</v>
      </c>
      <c r="F63" s="11">
        <f ca="1">IFERROR(IF(DarlehenNichtBezahlt*DarlehenIstGut,Kapital,""), "")</f>
        <v>99.858496065640708</v>
      </c>
      <c r="G63" s="11">
        <f ca="1">IFERROR(IF(DarlehenNichtBezahlt*DarlehenIstGut,ZinsBetrag,""), "")</f>
        <v>35.799351384960211</v>
      </c>
      <c r="H63" s="11">
        <f ca="1">IFERROR(IF(DarlehenNichtBezahlt*DarlehenIstGut,AbschlussSaldo,""), "")</f>
        <v>7710.9090788347585</v>
      </c>
    </row>
    <row r="64" spans="2:8" ht="20.149999999999999" customHeight="1">
      <c r="B64" s="9">
        <f ca="1">IFERROR(IF(DarlehenNichtBezahlt*DarlehenIstGut,ZahlungNummer,""), "")</f>
        <v>55</v>
      </c>
      <c r="C64" s="10">
        <f ca="1">IFERROR(IF(DarlehenNichtBezahlt*DarlehenIstGut,ZahlungsDatum,""), "")</f>
        <v>45823</v>
      </c>
      <c r="D64" s="11">
        <f ca="1">IFERROR(IF(DarlehenNichtBezahlt*DarlehenIstGut,DarlehensWert,""), "")</f>
        <v>7710.9090788347585</v>
      </c>
      <c r="E64" s="11">
        <f ca="1">IFERROR(IF(DarlehenNichtBezahlt*DarlehenIstGut,MonatlicheZahlung,""), "")</f>
        <v>135.65784745060091</v>
      </c>
      <c r="F64" s="11">
        <f ca="1">IFERROR(IF(DarlehenNichtBezahlt*DarlehenIstGut,Kapital,""), "")</f>
        <v>100.31618083927488</v>
      </c>
      <c r="G64" s="11">
        <f ca="1">IFERROR(IF(DarlehenNichtBezahlt*DarlehenIstGut,ZinsBetrag,""), "")</f>
        <v>35.341666611326019</v>
      </c>
      <c r="H64" s="11">
        <f ca="1">IFERROR(IF(DarlehenNichtBezahlt*DarlehenIstGut,AbschlussSaldo,""), "")</f>
        <v>7610.5928979954842</v>
      </c>
    </row>
    <row r="65" spans="2:8" ht="20.149999999999999" customHeight="1">
      <c r="B65" s="9">
        <f ca="1">IFERROR(IF(DarlehenNichtBezahlt*DarlehenIstGut,ZahlungNummer,""), "")</f>
        <v>56</v>
      </c>
      <c r="C65" s="10">
        <f ca="1">IFERROR(IF(DarlehenNichtBezahlt*DarlehenIstGut,ZahlungsDatum,""), "")</f>
        <v>45853</v>
      </c>
      <c r="D65" s="11">
        <f ca="1">IFERROR(IF(DarlehenNichtBezahlt*DarlehenIstGut,DarlehensWert,""), "")</f>
        <v>7610.5928979954842</v>
      </c>
      <c r="E65" s="11">
        <f ca="1">IFERROR(IF(DarlehenNichtBezahlt*DarlehenIstGut,MonatlicheZahlung,""), "")</f>
        <v>135.65784745060091</v>
      </c>
      <c r="F65" s="11">
        <f ca="1">IFERROR(IF(DarlehenNichtBezahlt*DarlehenIstGut,Kapital,""), "")</f>
        <v>100.77596333478824</v>
      </c>
      <c r="G65" s="11">
        <f ca="1">IFERROR(IF(DarlehenNichtBezahlt*DarlehenIstGut,ZinsBetrag,""), "")</f>
        <v>34.881884115812674</v>
      </c>
      <c r="H65" s="11">
        <f ca="1">IFERROR(IF(DarlehenNichtBezahlt*DarlehenIstGut,AbschlussSaldo,""), "")</f>
        <v>7509.8169346606974</v>
      </c>
    </row>
    <row r="66" spans="2:8" ht="20.149999999999999" customHeight="1">
      <c r="B66" s="9">
        <f ca="1">IFERROR(IF(DarlehenNichtBezahlt*DarlehenIstGut,ZahlungNummer,""), "")</f>
        <v>57</v>
      </c>
      <c r="C66" s="10">
        <f ca="1">IFERROR(IF(DarlehenNichtBezahlt*DarlehenIstGut,ZahlungsDatum,""), "")</f>
        <v>45884</v>
      </c>
      <c r="D66" s="11">
        <f ca="1">IFERROR(IF(DarlehenNichtBezahlt*DarlehenIstGut,DarlehensWert,""), "")</f>
        <v>7509.8169346606974</v>
      </c>
      <c r="E66" s="11">
        <f ca="1">IFERROR(IF(DarlehenNichtBezahlt*DarlehenIstGut,MonatlicheZahlung,""), "")</f>
        <v>135.65784745060091</v>
      </c>
      <c r="F66" s="11">
        <f ca="1">IFERROR(IF(DarlehenNichtBezahlt*DarlehenIstGut,Kapital,""), "")</f>
        <v>101.23785316673934</v>
      </c>
      <c r="G66" s="11">
        <f ca="1">IFERROR(IF(DarlehenNichtBezahlt*DarlehenIstGut,ZinsBetrag,""), "")</f>
        <v>34.419994283861563</v>
      </c>
      <c r="H66" s="11">
        <f ca="1">IFERROR(IF(DarlehenNichtBezahlt*DarlehenIstGut,AbschlussSaldo,""), "")</f>
        <v>7408.5790814939573</v>
      </c>
    </row>
    <row r="67" spans="2:8" ht="20.149999999999999" customHeight="1">
      <c r="B67" s="9">
        <f ca="1">IFERROR(IF(DarlehenNichtBezahlt*DarlehenIstGut,ZahlungNummer,""), "")</f>
        <v>58</v>
      </c>
      <c r="C67" s="10">
        <f ca="1">IFERROR(IF(DarlehenNichtBezahlt*DarlehenIstGut,ZahlungsDatum,""), "")</f>
        <v>45915</v>
      </c>
      <c r="D67" s="11">
        <f ca="1">IFERROR(IF(DarlehenNichtBezahlt*DarlehenIstGut,DarlehensWert,""), "")</f>
        <v>7408.5790814939573</v>
      </c>
      <c r="E67" s="11">
        <f ca="1">IFERROR(IF(DarlehenNichtBezahlt*DarlehenIstGut,MonatlicheZahlung,""), "")</f>
        <v>135.65784745060091</v>
      </c>
      <c r="F67" s="11">
        <f ca="1">IFERROR(IF(DarlehenNichtBezahlt*DarlehenIstGut,Kapital,""), "")</f>
        <v>101.70185999375357</v>
      </c>
      <c r="G67" s="11">
        <f ca="1">IFERROR(IF(DarlehenNichtBezahlt*DarlehenIstGut,ZinsBetrag,""), "")</f>
        <v>33.955987456847346</v>
      </c>
      <c r="H67" s="11">
        <f ca="1">IFERROR(IF(DarlehenNichtBezahlt*DarlehenIstGut,AbschlussSaldo,""), "")</f>
        <v>7306.8772215002045</v>
      </c>
    </row>
    <row r="68" spans="2:8" ht="20.149999999999999" customHeight="1">
      <c r="B68" s="9">
        <f ca="1">IFERROR(IF(DarlehenNichtBezahlt*DarlehenIstGut,ZahlungNummer,""), "")</f>
        <v>59</v>
      </c>
      <c r="C68" s="10">
        <f ca="1">IFERROR(IF(DarlehenNichtBezahlt*DarlehenIstGut,ZahlungsDatum,""), "")</f>
        <v>45945</v>
      </c>
      <c r="D68" s="11">
        <f ca="1">IFERROR(IF(DarlehenNichtBezahlt*DarlehenIstGut,DarlehensWert,""), "")</f>
        <v>7306.8772215002045</v>
      </c>
      <c r="E68" s="11">
        <f ca="1">IFERROR(IF(DarlehenNichtBezahlt*DarlehenIstGut,MonatlicheZahlung,""), "")</f>
        <v>135.65784745060091</v>
      </c>
      <c r="F68" s="11">
        <f ca="1">IFERROR(IF(DarlehenNichtBezahlt*DarlehenIstGut,Kapital,""), "")</f>
        <v>102.16799351872493</v>
      </c>
      <c r="G68" s="11">
        <f ca="1">IFERROR(IF(DarlehenNichtBezahlt*DarlehenIstGut,ZinsBetrag,""), "")</f>
        <v>33.489853931875977</v>
      </c>
      <c r="H68" s="11">
        <f ca="1">IFERROR(IF(DarlehenNichtBezahlt*DarlehenIstGut,AbschlussSaldo,""), "")</f>
        <v>7204.7092279814788</v>
      </c>
    </row>
    <row r="69" spans="2:8" ht="20.149999999999999" customHeight="1">
      <c r="B69" s="9">
        <f ca="1">IFERROR(IF(DarlehenNichtBezahlt*DarlehenIstGut,ZahlungNummer,""), "")</f>
        <v>60</v>
      </c>
      <c r="C69" s="10">
        <f ca="1">IFERROR(IF(DarlehenNichtBezahlt*DarlehenIstGut,ZahlungsDatum,""), "")</f>
        <v>45976</v>
      </c>
      <c r="D69" s="11">
        <f ca="1">IFERROR(IF(DarlehenNichtBezahlt*DarlehenIstGut,DarlehensWert,""), "")</f>
        <v>7204.7092279814788</v>
      </c>
      <c r="E69" s="11">
        <f ca="1">IFERROR(IF(DarlehenNichtBezahlt*DarlehenIstGut,MonatlicheZahlung,""), "")</f>
        <v>135.65784745060091</v>
      </c>
      <c r="F69" s="11">
        <f ca="1">IFERROR(IF(DarlehenNichtBezahlt*DarlehenIstGut,Kapital,""), "")</f>
        <v>102.63626348901909</v>
      </c>
      <c r="G69" s="11">
        <f ca="1">IFERROR(IF(DarlehenNichtBezahlt*DarlehenIstGut,ZinsBetrag,""), "")</f>
        <v>33.021583961581818</v>
      </c>
      <c r="H69" s="11">
        <f ca="1">IFERROR(IF(DarlehenNichtBezahlt*DarlehenIstGut,AbschlussSaldo,""), "")</f>
        <v>7102.0729644924595</v>
      </c>
    </row>
    <row r="70" spans="2:8" ht="20.149999999999999" customHeight="1">
      <c r="B70" s="9">
        <f ca="1">IFERROR(IF(DarlehenNichtBezahlt*DarlehenIstGut,ZahlungNummer,""), "")</f>
        <v>61</v>
      </c>
      <c r="C70" s="10">
        <f ca="1">IFERROR(IF(DarlehenNichtBezahlt*DarlehenIstGut,ZahlungsDatum,""), "")</f>
        <v>46006</v>
      </c>
      <c r="D70" s="11">
        <f ca="1">IFERROR(IF(DarlehenNichtBezahlt*DarlehenIstGut,DarlehensWert,""), "")</f>
        <v>7102.0729644924595</v>
      </c>
      <c r="E70" s="11">
        <f ca="1">IFERROR(IF(DarlehenNichtBezahlt*DarlehenIstGut,MonatlicheZahlung,""), "")</f>
        <v>135.65784745060091</v>
      </c>
      <c r="F70" s="11">
        <f ca="1">IFERROR(IF(DarlehenNichtBezahlt*DarlehenIstGut,Kapital,""), "")</f>
        <v>103.10667969667708</v>
      </c>
      <c r="G70" s="11">
        <f ca="1">IFERROR(IF(DarlehenNichtBezahlt*DarlehenIstGut,ZinsBetrag,""), "")</f>
        <v>32.551167753923814</v>
      </c>
      <c r="H70" s="11">
        <f ca="1">IFERROR(IF(DarlehenNichtBezahlt*DarlehenIstGut,AbschlussSaldo,""), "")</f>
        <v>6998.9662847957807</v>
      </c>
    </row>
    <row r="71" spans="2:8" ht="20.149999999999999" customHeight="1">
      <c r="B71" s="9">
        <f ca="1">IFERROR(IF(DarlehenNichtBezahlt*DarlehenIstGut,ZahlungNummer,""), "")</f>
        <v>62</v>
      </c>
      <c r="C71" s="10">
        <f ca="1">IFERROR(IF(DarlehenNichtBezahlt*DarlehenIstGut,ZahlungsDatum,""), "")</f>
        <v>46037</v>
      </c>
      <c r="D71" s="11">
        <f ca="1">IFERROR(IF(DarlehenNichtBezahlt*DarlehenIstGut,DarlehensWert,""), "")</f>
        <v>6998.9662847957807</v>
      </c>
      <c r="E71" s="11">
        <f ca="1">IFERROR(IF(DarlehenNichtBezahlt*DarlehenIstGut,MonatlicheZahlung,""), "")</f>
        <v>135.65784745060091</v>
      </c>
      <c r="F71" s="11">
        <f ca="1">IFERROR(IF(DarlehenNichtBezahlt*DarlehenIstGut,Kapital,""), "")</f>
        <v>103.57925197862019</v>
      </c>
      <c r="G71" s="11">
        <f ca="1">IFERROR(IF(DarlehenNichtBezahlt*DarlehenIstGut,ZinsBetrag,""), "")</f>
        <v>32.078595471980712</v>
      </c>
      <c r="H71" s="11">
        <f ca="1">IFERROR(IF(DarlehenNichtBezahlt*DarlehenIstGut,AbschlussSaldo,""), "")</f>
        <v>6895.3870328171615</v>
      </c>
    </row>
    <row r="72" spans="2:8" ht="20.149999999999999" customHeight="1">
      <c r="B72" s="9">
        <f ca="1">IFERROR(IF(DarlehenNichtBezahlt*DarlehenIstGut,ZahlungNummer,""), "")</f>
        <v>63</v>
      </c>
      <c r="C72" s="10">
        <f ca="1">IFERROR(IF(DarlehenNichtBezahlt*DarlehenIstGut,ZahlungsDatum,""), "")</f>
        <v>46068</v>
      </c>
      <c r="D72" s="11">
        <f ca="1">IFERROR(IF(DarlehenNichtBezahlt*DarlehenIstGut,DarlehensWert,""), "")</f>
        <v>6895.3870328171615</v>
      </c>
      <c r="E72" s="11">
        <f ca="1">IFERROR(IF(DarlehenNichtBezahlt*DarlehenIstGut,MonatlicheZahlung,""), "")</f>
        <v>135.65784745060091</v>
      </c>
      <c r="F72" s="11">
        <f ca="1">IFERROR(IF(DarlehenNichtBezahlt*DarlehenIstGut,Kapital,""), "")</f>
        <v>104.05399021685554</v>
      </c>
      <c r="G72" s="11">
        <f ca="1">IFERROR(IF(DarlehenNichtBezahlt*DarlehenIstGut,ZinsBetrag,""), "")</f>
        <v>31.603857233745362</v>
      </c>
      <c r="H72" s="11">
        <f ca="1">IFERROR(IF(DarlehenNichtBezahlt*DarlehenIstGut,AbschlussSaldo,""), "")</f>
        <v>6791.3330426003067</v>
      </c>
    </row>
    <row r="73" spans="2:8" ht="20.149999999999999" customHeight="1">
      <c r="B73" s="9">
        <f ca="1">IFERROR(IF(DarlehenNichtBezahlt*DarlehenIstGut,ZahlungNummer,""), "")</f>
        <v>64</v>
      </c>
      <c r="C73" s="10">
        <f ca="1">IFERROR(IF(DarlehenNichtBezahlt*DarlehenIstGut,ZahlungsDatum,""), "")</f>
        <v>46096</v>
      </c>
      <c r="D73" s="11">
        <f ca="1">IFERROR(IF(DarlehenNichtBezahlt*DarlehenIstGut,DarlehensWert,""), "")</f>
        <v>6791.3330426003067</v>
      </c>
      <c r="E73" s="11">
        <f ca="1">IFERROR(IF(DarlehenNichtBezahlt*DarlehenIstGut,MonatlicheZahlung,""), "")</f>
        <v>135.65784745060091</v>
      </c>
      <c r="F73" s="11">
        <f ca="1">IFERROR(IF(DarlehenNichtBezahlt*DarlehenIstGut,Kapital,""), "")</f>
        <v>104.5309043386828</v>
      </c>
      <c r="G73" s="11">
        <f ca="1">IFERROR(IF(DarlehenNichtBezahlt*DarlehenIstGut,ZinsBetrag,""), "")</f>
        <v>31.126943111918109</v>
      </c>
      <c r="H73" s="11">
        <f ca="1">IFERROR(IF(DarlehenNichtBezahlt*DarlehenIstGut,AbschlussSaldo,""), "")</f>
        <v>6686.8021382616189</v>
      </c>
    </row>
    <row r="74" spans="2:8" ht="20.149999999999999" customHeight="1">
      <c r="B74" s="9">
        <f ca="1">IFERROR(IF(DarlehenNichtBezahlt*DarlehenIstGut,ZahlungNummer,""), "")</f>
        <v>65</v>
      </c>
      <c r="C74" s="10">
        <f ca="1">IFERROR(IF(DarlehenNichtBezahlt*DarlehenIstGut,ZahlungsDatum,""), "")</f>
        <v>46127</v>
      </c>
      <c r="D74" s="11">
        <f ca="1">IFERROR(IF(DarlehenNichtBezahlt*DarlehenIstGut,DarlehensWert,""), "")</f>
        <v>6686.8021382616189</v>
      </c>
      <c r="E74" s="11">
        <f ca="1">IFERROR(IF(DarlehenNichtBezahlt*DarlehenIstGut,MonatlicheZahlung,""), "")</f>
        <v>135.65784745060091</v>
      </c>
      <c r="F74" s="11">
        <f ca="1">IFERROR(IF(DarlehenNichtBezahlt*DarlehenIstGut,Kapital,""), "")</f>
        <v>105.01000431690177</v>
      </c>
      <c r="G74" s="11">
        <f ca="1">IFERROR(IF(DarlehenNichtBezahlt*DarlehenIstGut,ZinsBetrag,""), "")</f>
        <v>30.647843133699148</v>
      </c>
      <c r="H74" s="11">
        <f ca="1">IFERROR(IF(DarlehenNichtBezahlt*DarlehenIstGut,AbschlussSaldo,""), "")</f>
        <v>6581.7921339447184</v>
      </c>
    </row>
    <row r="75" spans="2:8" ht="20.149999999999999" customHeight="1">
      <c r="B75" s="9">
        <f ca="1">IFERROR(IF(DarlehenNichtBezahlt*DarlehenIstGut,ZahlungNummer,""), "")</f>
        <v>66</v>
      </c>
      <c r="C75" s="10">
        <f ca="1">IFERROR(IF(DarlehenNichtBezahlt*DarlehenIstGut,ZahlungsDatum,""), "")</f>
        <v>46157</v>
      </c>
      <c r="D75" s="11">
        <f ca="1">IFERROR(IF(DarlehenNichtBezahlt*DarlehenIstGut,DarlehensWert,""), "")</f>
        <v>6581.7921339447184</v>
      </c>
      <c r="E75" s="11">
        <f ca="1">IFERROR(IF(DarlehenNichtBezahlt*DarlehenIstGut,MonatlicheZahlung,""), "")</f>
        <v>135.65784745060091</v>
      </c>
      <c r="F75" s="11">
        <f ca="1">IFERROR(IF(DarlehenNichtBezahlt*DarlehenIstGut,Kapital,""), "")</f>
        <v>105.49130017002089</v>
      </c>
      <c r="G75" s="11">
        <f ca="1">IFERROR(IF(DarlehenNichtBezahlt*DarlehenIstGut,ZinsBetrag,""), "")</f>
        <v>30.166547280580012</v>
      </c>
      <c r="H75" s="11">
        <f ca="1">IFERROR(IF(DarlehenNichtBezahlt*DarlehenIstGut,AbschlussSaldo,""), "")</f>
        <v>6476.3008337746978</v>
      </c>
    </row>
    <row r="76" spans="2:8" ht="20.149999999999999" customHeight="1">
      <c r="B76" s="9">
        <f ca="1">IFERROR(IF(DarlehenNichtBezahlt*DarlehenIstGut,ZahlungNummer,""), "")</f>
        <v>67</v>
      </c>
      <c r="C76" s="10">
        <f ca="1">IFERROR(IF(DarlehenNichtBezahlt*DarlehenIstGut,ZahlungsDatum,""), "")</f>
        <v>46188</v>
      </c>
      <c r="D76" s="11">
        <f ca="1">IFERROR(IF(DarlehenNichtBezahlt*DarlehenIstGut,DarlehensWert,""), "")</f>
        <v>6476.3008337746978</v>
      </c>
      <c r="E76" s="11">
        <f ca="1">IFERROR(IF(DarlehenNichtBezahlt*DarlehenIstGut,MonatlicheZahlung,""), "")</f>
        <v>135.65784745060091</v>
      </c>
      <c r="F76" s="11">
        <f ca="1">IFERROR(IF(DarlehenNichtBezahlt*DarlehenIstGut,Kapital,""), "")</f>
        <v>105.97480196246681</v>
      </c>
      <c r="G76" s="11">
        <f ca="1">IFERROR(IF(DarlehenNichtBezahlt*DarlehenIstGut,ZinsBetrag,""), "")</f>
        <v>29.683045488134088</v>
      </c>
      <c r="H76" s="11">
        <f ca="1">IFERROR(IF(DarlehenNichtBezahlt*DarlehenIstGut,AbschlussSaldo,""), "")</f>
        <v>6370.3260318122284</v>
      </c>
    </row>
    <row r="77" spans="2:8" ht="20.149999999999999" customHeight="1">
      <c r="B77" s="9">
        <f ca="1">IFERROR(IF(DarlehenNichtBezahlt*DarlehenIstGut,ZahlungNummer,""), "")</f>
        <v>68</v>
      </c>
      <c r="C77" s="10">
        <f ca="1">IFERROR(IF(DarlehenNichtBezahlt*DarlehenIstGut,ZahlungsDatum,""), "")</f>
        <v>46218</v>
      </c>
      <c r="D77" s="11">
        <f ca="1">IFERROR(IF(DarlehenNichtBezahlt*DarlehenIstGut,DarlehensWert,""), "")</f>
        <v>6370.3260318122284</v>
      </c>
      <c r="E77" s="11">
        <f ca="1">IFERROR(IF(DarlehenNichtBezahlt*DarlehenIstGut,MonatlicheZahlung,""), "")</f>
        <v>135.65784745060091</v>
      </c>
      <c r="F77" s="11">
        <f ca="1">IFERROR(IF(DarlehenNichtBezahlt*DarlehenIstGut,Kapital,""), "")</f>
        <v>106.46051980479479</v>
      </c>
      <c r="G77" s="11">
        <f ca="1">IFERROR(IF(DarlehenNichtBezahlt*DarlehenIstGut,ZinsBetrag,""), "")</f>
        <v>29.197327645806112</v>
      </c>
      <c r="H77" s="11">
        <f ca="1">IFERROR(IF(DarlehenNichtBezahlt*DarlehenIstGut,AbschlussSaldo,""), "")</f>
        <v>6263.8655120074345</v>
      </c>
    </row>
    <row r="78" spans="2:8" ht="20.149999999999999" customHeight="1">
      <c r="B78" s="9">
        <f ca="1">IFERROR(IF(DarlehenNichtBezahlt*DarlehenIstGut,ZahlungNummer,""), "")</f>
        <v>69</v>
      </c>
      <c r="C78" s="10">
        <f ca="1">IFERROR(IF(DarlehenNichtBezahlt*DarlehenIstGut,ZahlungsDatum,""), "")</f>
        <v>46249</v>
      </c>
      <c r="D78" s="11">
        <f ca="1">IFERROR(IF(DarlehenNichtBezahlt*DarlehenIstGut,DarlehensWert,""), "")</f>
        <v>6263.8655120074345</v>
      </c>
      <c r="E78" s="11">
        <f ca="1">IFERROR(IF(DarlehenNichtBezahlt*DarlehenIstGut,MonatlicheZahlung,""), "")</f>
        <v>135.65784745060091</v>
      </c>
      <c r="F78" s="11">
        <f ca="1">IFERROR(IF(DarlehenNichtBezahlt*DarlehenIstGut,Kapital,""), "")</f>
        <v>106.94846385390011</v>
      </c>
      <c r="G78" s="11">
        <f ca="1">IFERROR(IF(DarlehenNichtBezahlt*DarlehenIstGut,ZinsBetrag,""), "")</f>
        <v>28.709383596700803</v>
      </c>
      <c r="H78" s="11">
        <f ca="1">IFERROR(IF(DarlehenNichtBezahlt*DarlehenIstGut,AbschlussSaldo,""), "")</f>
        <v>6156.9170481535293</v>
      </c>
    </row>
    <row r="79" spans="2:8" ht="20.149999999999999" customHeight="1">
      <c r="B79" s="9">
        <f ca="1">IFERROR(IF(DarlehenNichtBezahlt*DarlehenIstGut,ZahlungNummer,""), "")</f>
        <v>70</v>
      </c>
      <c r="C79" s="10">
        <f ca="1">IFERROR(IF(DarlehenNichtBezahlt*DarlehenIstGut,ZahlungsDatum,""), "")</f>
        <v>46280</v>
      </c>
      <c r="D79" s="11">
        <f ca="1">IFERROR(IF(DarlehenNichtBezahlt*DarlehenIstGut,DarlehensWert,""), "")</f>
        <v>6156.9170481535293</v>
      </c>
      <c r="E79" s="11">
        <f ca="1">IFERROR(IF(DarlehenNichtBezahlt*DarlehenIstGut,MonatlicheZahlung,""), "")</f>
        <v>135.65784745060091</v>
      </c>
      <c r="F79" s="11">
        <f ca="1">IFERROR(IF(DarlehenNichtBezahlt*DarlehenIstGut,Kapital,""), "")</f>
        <v>107.43864431323048</v>
      </c>
      <c r="G79" s="11">
        <f ca="1">IFERROR(IF(DarlehenNichtBezahlt*DarlehenIstGut,ZinsBetrag,""), "")</f>
        <v>28.219203137370432</v>
      </c>
      <c r="H79" s="11">
        <f ca="1">IFERROR(IF(DarlehenNichtBezahlt*DarlehenIstGut,AbschlussSaldo,""), "")</f>
        <v>6049.4784038402995</v>
      </c>
    </row>
    <row r="80" spans="2:8" ht="20.149999999999999" customHeight="1">
      <c r="B80" s="9">
        <f ca="1">IFERROR(IF(DarlehenNichtBezahlt*DarlehenIstGut,ZahlungNummer,""), "")</f>
        <v>71</v>
      </c>
      <c r="C80" s="10">
        <f ca="1">IFERROR(IF(DarlehenNichtBezahlt*DarlehenIstGut,ZahlungsDatum,""), "")</f>
        <v>46310</v>
      </c>
      <c r="D80" s="11">
        <f ca="1">IFERROR(IF(DarlehenNichtBezahlt*DarlehenIstGut,DarlehensWert,""), "")</f>
        <v>6049.4784038402995</v>
      </c>
      <c r="E80" s="11">
        <f ca="1">IFERROR(IF(DarlehenNichtBezahlt*DarlehenIstGut,MonatlicheZahlung,""), "")</f>
        <v>135.65784745060091</v>
      </c>
      <c r="F80" s="11">
        <f ca="1">IFERROR(IF(DarlehenNichtBezahlt*DarlehenIstGut,Kapital,""), "")</f>
        <v>107.93107143299946</v>
      </c>
      <c r="G80" s="11">
        <f ca="1">IFERROR(IF(DarlehenNichtBezahlt*DarlehenIstGut,ZinsBetrag,""), "")</f>
        <v>27.726776017601455</v>
      </c>
      <c r="H80" s="11">
        <f ca="1">IFERROR(IF(DarlehenNichtBezahlt*DarlehenIstGut,AbschlussSaldo,""), "")</f>
        <v>5941.5473324073046</v>
      </c>
    </row>
    <row r="81" spans="2:8" ht="20.149999999999999" customHeight="1">
      <c r="B81" s="9">
        <f ca="1">IFERROR(IF(DarlehenNichtBezahlt*DarlehenIstGut,ZahlungNummer,""), "")</f>
        <v>72</v>
      </c>
      <c r="C81" s="10">
        <f ca="1">IFERROR(IF(DarlehenNichtBezahlt*DarlehenIstGut,ZahlungsDatum,""), "")</f>
        <v>46341</v>
      </c>
      <c r="D81" s="11">
        <f ca="1">IFERROR(IF(DarlehenNichtBezahlt*DarlehenIstGut,DarlehensWert,""), "")</f>
        <v>5941.5473324073046</v>
      </c>
      <c r="E81" s="11">
        <f ca="1">IFERROR(IF(DarlehenNichtBezahlt*DarlehenIstGut,MonatlicheZahlung,""), "")</f>
        <v>135.65784745060091</v>
      </c>
      <c r="F81" s="11">
        <f ca="1">IFERROR(IF(DarlehenNichtBezahlt*DarlehenIstGut,Kapital,""), "")</f>
        <v>108.42575551040069</v>
      </c>
      <c r="G81" s="11">
        <f ca="1">IFERROR(IF(DarlehenNichtBezahlt*DarlehenIstGut,ZinsBetrag,""), "")</f>
        <v>27.23209194020021</v>
      </c>
      <c r="H81" s="11">
        <f ca="1">IFERROR(IF(DarlehenNichtBezahlt*DarlehenIstGut,AbschlussSaldo,""), "")</f>
        <v>5833.1215768969014</v>
      </c>
    </row>
    <row r="82" spans="2:8" ht="20.149999999999999" customHeight="1">
      <c r="B82" s="9">
        <f ca="1">IFERROR(IF(DarlehenNichtBezahlt*DarlehenIstGut,ZahlungNummer,""), "")</f>
        <v>73</v>
      </c>
      <c r="C82" s="10">
        <f ca="1">IFERROR(IF(DarlehenNichtBezahlt*DarlehenIstGut,ZahlungsDatum,""), "")</f>
        <v>46371</v>
      </c>
      <c r="D82" s="11">
        <f ca="1">IFERROR(IF(DarlehenNichtBezahlt*DarlehenIstGut,DarlehensWert,""), "")</f>
        <v>5833.1215768969014</v>
      </c>
      <c r="E82" s="11">
        <f ca="1">IFERROR(IF(DarlehenNichtBezahlt*DarlehenIstGut,MonatlicheZahlung,""), "")</f>
        <v>135.65784745060091</v>
      </c>
      <c r="F82" s="11">
        <f ca="1">IFERROR(IF(DarlehenNichtBezahlt*DarlehenIstGut,Kapital,""), "")</f>
        <v>108.92270688982337</v>
      </c>
      <c r="G82" s="11">
        <f ca="1">IFERROR(IF(DarlehenNichtBezahlt*DarlehenIstGut,ZinsBetrag,""), "")</f>
        <v>26.735140560777534</v>
      </c>
      <c r="H82" s="11">
        <f ca="1">IFERROR(IF(DarlehenNichtBezahlt*DarlehenIstGut,AbschlussSaldo,""), "")</f>
        <v>5724.1988700070797</v>
      </c>
    </row>
    <row r="83" spans="2:8" ht="20.149999999999999" customHeight="1">
      <c r="B83" s="9">
        <f ca="1">IFERROR(IF(DarlehenNichtBezahlt*DarlehenIstGut,ZahlungNummer,""), "")</f>
        <v>74</v>
      </c>
      <c r="C83" s="10">
        <f ca="1">IFERROR(IF(DarlehenNichtBezahlt*DarlehenIstGut,ZahlungsDatum,""), "")</f>
        <v>46402</v>
      </c>
      <c r="D83" s="11">
        <f ca="1">IFERROR(IF(DarlehenNichtBezahlt*DarlehenIstGut,DarlehensWert,""), "")</f>
        <v>5724.1988700070797</v>
      </c>
      <c r="E83" s="11">
        <f ca="1">IFERROR(IF(DarlehenNichtBezahlt*DarlehenIstGut,MonatlicheZahlung,""), "")</f>
        <v>135.65784745060091</v>
      </c>
      <c r="F83" s="11">
        <f ca="1">IFERROR(IF(DarlehenNichtBezahlt*DarlehenIstGut,Kapital,""), "")</f>
        <v>109.42193596306839</v>
      </c>
      <c r="G83" s="11">
        <f ca="1">IFERROR(IF(DarlehenNichtBezahlt*DarlehenIstGut,ZinsBetrag,""), "")</f>
        <v>26.235911487532519</v>
      </c>
      <c r="H83" s="11">
        <f ca="1">IFERROR(IF(DarlehenNichtBezahlt*DarlehenIstGut,AbschlussSaldo,""), "")</f>
        <v>5614.7769340440118</v>
      </c>
    </row>
    <row r="84" spans="2:8" ht="20.149999999999999" customHeight="1">
      <c r="B84" s="9">
        <f ca="1">IFERROR(IF(DarlehenNichtBezahlt*DarlehenIstGut,ZahlungNummer,""), "")</f>
        <v>75</v>
      </c>
      <c r="C84" s="10">
        <f ca="1">IFERROR(IF(DarlehenNichtBezahlt*DarlehenIstGut,ZahlungsDatum,""), "")</f>
        <v>46433</v>
      </c>
      <c r="D84" s="11">
        <f ca="1">IFERROR(IF(DarlehenNichtBezahlt*DarlehenIstGut,DarlehensWert,""), "")</f>
        <v>5614.7769340440118</v>
      </c>
      <c r="E84" s="11">
        <f ca="1">IFERROR(IF(DarlehenNichtBezahlt*DarlehenIstGut,MonatlicheZahlung,""), "")</f>
        <v>135.65784745060091</v>
      </c>
      <c r="F84" s="11">
        <f ca="1">IFERROR(IF(DarlehenNichtBezahlt*DarlehenIstGut,Kapital,""), "")</f>
        <v>109.9234531695658</v>
      </c>
      <c r="G84" s="11">
        <f ca="1">IFERROR(IF(DarlehenNichtBezahlt*DarlehenIstGut,ZinsBetrag,""), "")</f>
        <v>25.734394281035122</v>
      </c>
      <c r="H84" s="11">
        <f ca="1">IFERROR(IF(DarlehenNichtBezahlt*DarlehenIstGut,AbschlussSaldo,""), "")</f>
        <v>5504.8534808744425</v>
      </c>
    </row>
    <row r="85" spans="2:8" ht="20.149999999999999" customHeight="1">
      <c r="B85" s="9">
        <f ca="1">IFERROR(IF(DarlehenNichtBezahlt*DarlehenIstGut,ZahlungNummer,""), "")</f>
        <v>76</v>
      </c>
      <c r="C85" s="10">
        <f ca="1">IFERROR(IF(DarlehenNichtBezahlt*DarlehenIstGut,ZahlungsDatum,""), "")</f>
        <v>46461</v>
      </c>
      <c r="D85" s="11">
        <f ca="1">IFERROR(IF(DarlehenNichtBezahlt*DarlehenIstGut,DarlehensWert,""), "")</f>
        <v>5504.8534808744425</v>
      </c>
      <c r="E85" s="11">
        <f ca="1">IFERROR(IF(DarlehenNichtBezahlt*DarlehenIstGut,MonatlicheZahlung,""), "")</f>
        <v>135.65784745060091</v>
      </c>
      <c r="F85" s="11">
        <f ca="1">IFERROR(IF(DarlehenNichtBezahlt*DarlehenIstGut,Kapital,""), "")</f>
        <v>110.42726899659297</v>
      </c>
      <c r="G85" s="11">
        <f ca="1">IFERROR(IF(DarlehenNichtBezahlt*DarlehenIstGut,ZinsBetrag,""), "")</f>
        <v>25.23057845400794</v>
      </c>
      <c r="H85" s="11">
        <f ca="1">IFERROR(IF(DarlehenNichtBezahlt*DarlehenIstGut,AbschlussSaldo,""), "")</f>
        <v>5394.4262118778497</v>
      </c>
    </row>
    <row r="86" spans="2:8" ht="20.149999999999999" customHeight="1">
      <c r="B86" s="9">
        <f ca="1">IFERROR(IF(DarlehenNichtBezahlt*DarlehenIstGut,ZahlungNummer,""), "")</f>
        <v>77</v>
      </c>
      <c r="C86" s="10">
        <f ca="1">IFERROR(IF(DarlehenNichtBezahlt*DarlehenIstGut,ZahlungsDatum,""), "")</f>
        <v>46492</v>
      </c>
      <c r="D86" s="11">
        <f ca="1">IFERROR(IF(DarlehenNichtBezahlt*DarlehenIstGut,DarlehensWert,""), "")</f>
        <v>5394.4262118778497</v>
      </c>
      <c r="E86" s="11">
        <f ca="1">IFERROR(IF(DarlehenNichtBezahlt*DarlehenIstGut,MonatlicheZahlung,""), "")</f>
        <v>135.65784745060091</v>
      </c>
      <c r="F86" s="11">
        <f ca="1">IFERROR(IF(DarlehenNichtBezahlt*DarlehenIstGut,Kapital,""), "")</f>
        <v>110.93339397949401</v>
      </c>
      <c r="G86" s="11">
        <f ca="1">IFERROR(IF(DarlehenNichtBezahlt*DarlehenIstGut,ZinsBetrag,""), "")</f>
        <v>24.724453471106891</v>
      </c>
      <c r="H86" s="11">
        <f ca="1">IFERROR(IF(DarlehenNichtBezahlt*DarlehenIstGut,AbschlussSaldo,""), "")</f>
        <v>5283.4928178983555</v>
      </c>
    </row>
    <row r="87" spans="2:8" ht="20.149999999999999" customHeight="1">
      <c r="B87" s="9">
        <f ca="1">IFERROR(IF(DarlehenNichtBezahlt*DarlehenIstGut,ZahlungNummer,""), "")</f>
        <v>78</v>
      </c>
      <c r="C87" s="10">
        <f ca="1">IFERROR(IF(DarlehenNichtBezahlt*DarlehenIstGut,ZahlungsDatum,""), "")</f>
        <v>46522</v>
      </c>
      <c r="D87" s="11">
        <f ca="1">IFERROR(IF(DarlehenNichtBezahlt*DarlehenIstGut,DarlehensWert,""), "")</f>
        <v>5283.4928178983555</v>
      </c>
      <c r="E87" s="11">
        <f ca="1">IFERROR(IF(DarlehenNichtBezahlt*DarlehenIstGut,MonatlicheZahlung,""), "")</f>
        <v>135.65784745060091</v>
      </c>
      <c r="F87" s="11">
        <f ca="1">IFERROR(IF(DarlehenNichtBezahlt*DarlehenIstGut,Kapital,""), "")</f>
        <v>111.44183870190004</v>
      </c>
      <c r="G87" s="11">
        <f ca="1">IFERROR(IF(DarlehenNichtBezahlt*DarlehenIstGut,ZinsBetrag,""), "")</f>
        <v>24.216008748700876</v>
      </c>
      <c r="H87" s="11">
        <f ca="1">IFERROR(IF(DarlehenNichtBezahlt*DarlehenIstGut,AbschlussSaldo,""), "")</f>
        <v>5172.0509791964541</v>
      </c>
    </row>
    <row r="88" spans="2:8" ht="20.149999999999999" customHeight="1">
      <c r="B88" s="9">
        <f ca="1">IFERROR(IF(DarlehenNichtBezahlt*DarlehenIstGut,ZahlungNummer,""), "")</f>
        <v>79</v>
      </c>
      <c r="C88" s="10">
        <f ca="1">IFERROR(IF(DarlehenNichtBezahlt*DarlehenIstGut,ZahlungsDatum,""), "")</f>
        <v>46553</v>
      </c>
      <c r="D88" s="11">
        <f ca="1">IFERROR(IF(DarlehenNichtBezahlt*DarlehenIstGut,DarlehensWert,""), "")</f>
        <v>5172.0509791964541</v>
      </c>
      <c r="E88" s="11">
        <f ca="1">IFERROR(IF(DarlehenNichtBezahlt*DarlehenIstGut,MonatlicheZahlung,""), "")</f>
        <v>135.65784745060091</v>
      </c>
      <c r="F88" s="11">
        <f ca="1">IFERROR(IF(DarlehenNichtBezahlt*DarlehenIstGut,Kapital,""), "")</f>
        <v>111.95261379595041</v>
      </c>
      <c r="G88" s="11">
        <f ca="1">IFERROR(IF(DarlehenNichtBezahlt*DarlehenIstGut,ZinsBetrag,""), "")</f>
        <v>23.705233654650502</v>
      </c>
      <c r="H88" s="11">
        <f ca="1">IFERROR(IF(DarlehenNichtBezahlt*DarlehenIstGut,AbschlussSaldo,""), "")</f>
        <v>5060.0983654005086</v>
      </c>
    </row>
    <row r="89" spans="2:8" ht="20.149999999999999" customHeight="1">
      <c r="B89" s="9">
        <f ca="1">IFERROR(IF(DarlehenNichtBezahlt*DarlehenIstGut,ZahlungNummer,""), "")</f>
        <v>80</v>
      </c>
      <c r="C89" s="10">
        <f ca="1">IFERROR(IF(DarlehenNichtBezahlt*DarlehenIstGut,ZahlungsDatum,""), "")</f>
        <v>46583</v>
      </c>
      <c r="D89" s="11">
        <f ca="1">IFERROR(IF(DarlehenNichtBezahlt*DarlehenIstGut,DarlehensWert,""), "")</f>
        <v>5060.0983654005086</v>
      </c>
      <c r="E89" s="11">
        <f ca="1">IFERROR(IF(DarlehenNichtBezahlt*DarlehenIstGut,MonatlicheZahlung,""), "")</f>
        <v>135.65784745060091</v>
      </c>
      <c r="F89" s="11">
        <f ca="1">IFERROR(IF(DarlehenNichtBezahlt*DarlehenIstGut,Kapital,""), "")</f>
        <v>112.46572994251517</v>
      </c>
      <c r="G89" s="11">
        <f ca="1">IFERROR(IF(DarlehenNichtBezahlt*DarlehenIstGut,ZinsBetrag,""), "")</f>
        <v>23.192117508085726</v>
      </c>
      <c r="H89" s="11">
        <f ca="1">IFERROR(IF(DarlehenNichtBezahlt*DarlehenIstGut,AbschlussSaldo,""), "")</f>
        <v>4947.6326354579924</v>
      </c>
    </row>
    <row r="90" spans="2:8" ht="20.149999999999999" customHeight="1">
      <c r="B90" s="9">
        <f ca="1">IFERROR(IF(DarlehenNichtBezahlt*DarlehenIstGut,ZahlungNummer,""), "")</f>
        <v>81</v>
      </c>
      <c r="C90" s="10">
        <f ca="1">IFERROR(IF(DarlehenNichtBezahlt*DarlehenIstGut,ZahlungsDatum,""), "")</f>
        <v>46614</v>
      </c>
      <c r="D90" s="11">
        <f ca="1">IFERROR(IF(DarlehenNichtBezahlt*DarlehenIstGut,DarlehensWert,""), "")</f>
        <v>4947.6326354579924</v>
      </c>
      <c r="E90" s="11">
        <f ca="1">IFERROR(IF(DarlehenNichtBezahlt*DarlehenIstGut,MonatlicheZahlung,""), "")</f>
        <v>135.65784745060091</v>
      </c>
      <c r="F90" s="11">
        <f ca="1">IFERROR(IF(DarlehenNichtBezahlt*DarlehenIstGut,Kapital,""), "")</f>
        <v>112.98119787141837</v>
      </c>
      <c r="G90" s="11">
        <f ca="1">IFERROR(IF(DarlehenNichtBezahlt*DarlehenIstGut,ZinsBetrag,""), "")</f>
        <v>22.676649579182534</v>
      </c>
      <c r="H90" s="11">
        <f ca="1">IFERROR(IF(DarlehenNichtBezahlt*DarlehenIstGut,AbschlussSaldo,""), "")</f>
        <v>4834.65143758657</v>
      </c>
    </row>
    <row r="91" spans="2:8" ht="20.149999999999999" customHeight="1">
      <c r="B91" s="9">
        <f ca="1">IFERROR(IF(DarlehenNichtBezahlt*DarlehenIstGut,ZahlungNummer,""), "")</f>
        <v>82</v>
      </c>
      <c r="C91" s="10">
        <f ca="1">IFERROR(IF(DarlehenNichtBezahlt*DarlehenIstGut,ZahlungsDatum,""), "")</f>
        <v>46645</v>
      </c>
      <c r="D91" s="11">
        <f ca="1">IFERROR(IF(DarlehenNichtBezahlt*DarlehenIstGut,DarlehensWert,""), "")</f>
        <v>4834.65143758657</v>
      </c>
      <c r="E91" s="11">
        <f ca="1">IFERROR(IF(DarlehenNichtBezahlt*DarlehenIstGut,MonatlicheZahlung,""), "")</f>
        <v>135.65784745060091</v>
      </c>
      <c r="F91" s="11">
        <f ca="1">IFERROR(IF(DarlehenNichtBezahlt*DarlehenIstGut,Kapital,""), "")</f>
        <v>113.49902836166238</v>
      </c>
      <c r="G91" s="11">
        <f ca="1">IFERROR(IF(DarlehenNichtBezahlt*DarlehenIstGut,ZinsBetrag,""), "")</f>
        <v>22.158819088938532</v>
      </c>
      <c r="H91" s="11">
        <f ca="1">IFERROR(IF(DarlehenNichtBezahlt*DarlehenIstGut,AbschlussSaldo,""), "")</f>
        <v>4721.1524092249092</v>
      </c>
    </row>
    <row r="92" spans="2:8" ht="20.149999999999999" customHeight="1">
      <c r="B92" s="9">
        <f ca="1">IFERROR(IF(DarlehenNichtBezahlt*DarlehenIstGut,ZahlungNummer,""), "")</f>
        <v>83</v>
      </c>
      <c r="C92" s="10">
        <f ca="1">IFERROR(IF(DarlehenNichtBezahlt*DarlehenIstGut,ZahlungsDatum,""), "")</f>
        <v>46675</v>
      </c>
      <c r="D92" s="11">
        <f ca="1">IFERROR(IF(DarlehenNichtBezahlt*DarlehenIstGut,DarlehensWert,""), "")</f>
        <v>4721.1524092249092</v>
      </c>
      <c r="E92" s="11">
        <f ca="1">IFERROR(IF(DarlehenNichtBezahlt*DarlehenIstGut,MonatlicheZahlung,""), "")</f>
        <v>135.65784745060091</v>
      </c>
      <c r="F92" s="11">
        <f ca="1">IFERROR(IF(DarlehenNichtBezahlt*DarlehenIstGut,Kapital,""), "")</f>
        <v>114.01923224165333</v>
      </c>
      <c r="G92" s="11">
        <f ca="1">IFERROR(IF(DarlehenNichtBezahlt*DarlehenIstGut,ZinsBetrag,""), "")</f>
        <v>21.638615208947581</v>
      </c>
      <c r="H92" s="11">
        <f ca="1">IFERROR(IF(DarlehenNichtBezahlt*DarlehenIstGut,AbschlussSaldo,""), "")</f>
        <v>4607.1331769832577</v>
      </c>
    </row>
    <row r="93" spans="2:8" ht="20.149999999999999" customHeight="1">
      <c r="B93" s="9">
        <f ca="1">IFERROR(IF(DarlehenNichtBezahlt*DarlehenIstGut,ZahlungNummer,""), "")</f>
        <v>84</v>
      </c>
      <c r="C93" s="10">
        <f ca="1">IFERROR(IF(DarlehenNichtBezahlt*DarlehenIstGut,ZahlungsDatum,""), "")</f>
        <v>46706</v>
      </c>
      <c r="D93" s="11">
        <f ca="1">IFERROR(IF(DarlehenNichtBezahlt*DarlehenIstGut,DarlehensWert,""), "")</f>
        <v>4607.1331769832577</v>
      </c>
      <c r="E93" s="11">
        <f ca="1">IFERROR(IF(DarlehenNichtBezahlt*DarlehenIstGut,MonatlicheZahlung,""), "")</f>
        <v>135.65784745060091</v>
      </c>
      <c r="F93" s="11">
        <f ca="1">IFERROR(IF(DarlehenNichtBezahlt*DarlehenIstGut,Kapital,""), "")</f>
        <v>114.54182038942756</v>
      </c>
      <c r="G93" s="11">
        <f ca="1">IFERROR(IF(DarlehenNichtBezahlt*DarlehenIstGut,ZinsBetrag,""), "")</f>
        <v>21.116027061173334</v>
      </c>
      <c r="H93" s="11">
        <f ca="1">IFERROR(IF(DarlehenNichtBezahlt*DarlehenIstGut,AbschlussSaldo,""), "")</f>
        <v>4492.5913565938281</v>
      </c>
    </row>
    <row r="94" spans="2:8" ht="20.149999999999999" customHeight="1">
      <c r="B94" s="9">
        <f ca="1">IFERROR(IF(DarlehenNichtBezahlt*DarlehenIstGut,ZahlungNummer,""), "")</f>
        <v>85</v>
      </c>
      <c r="C94" s="10">
        <f ca="1">IFERROR(IF(DarlehenNichtBezahlt*DarlehenIstGut,ZahlungsDatum,""), "")</f>
        <v>46736</v>
      </c>
      <c r="D94" s="11">
        <f ca="1">IFERROR(IF(DarlehenNichtBezahlt*DarlehenIstGut,DarlehensWert,""), "")</f>
        <v>4492.5913565938281</v>
      </c>
      <c r="E94" s="11">
        <f ca="1">IFERROR(IF(DarlehenNichtBezahlt*DarlehenIstGut,MonatlicheZahlung,""), "")</f>
        <v>135.65784745060091</v>
      </c>
      <c r="F94" s="11">
        <f ca="1">IFERROR(IF(DarlehenNichtBezahlt*DarlehenIstGut,Kapital,""), "")</f>
        <v>115.06680373287911</v>
      </c>
      <c r="G94" s="11">
        <f ca="1">IFERROR(IF(DarlehenNichtBezahlt*DarlehenIstGut,ZinsBetrag,""), "")</f>
        <v>20.591043717721796</v>
      </c>
      <c r="H94" s="11">
        <f ca="1">IFERROR(IF(DarlehenNichtBezahlt*DarlehenIstGut,AbschlussSaldo,""), "")</f>
        <v>4377.5245528609485</v>
      </c>
    </row>
    <row r="95" spans="2:8" ht="20.149999999999999" customHeight="1">
      <c r="B95" s="9">
        <f ca="1">IFERROR(IF(DarlehenNichtBezahlt*DarlehenIstGut,ZahlungNummer,""), "")</f>
        <v>86</v>
      </c>
      <c r="C95" s="10">
        <f ca="1">IFERROR(IF(DarlehenNichtBezahlt*DarlehenIstGut,ZahlungsDatum,""), "")</f>
        <v>46767</v>
      </c>
      <c r="D95" s="11">
        <f ca="1">IFERROR(IF(DarlehenNichtBezahlt*DarlehenIstGut,DarlehensWert,""), "")</f>
        <v>4377.5245528609485</v>
      </c>
      <c r="E95" s="11">
        <f ca="1">IFERROR(IF(DarlehenNichtBezahlt*DarlehenIstGut,MonatlicheZahlung,""), "")</f>
        <v>135.65784745060091</v>
      </c>
      <c r="F95" s="11">
        <f ca="1">IFERROR(IF(DarlehenNichtBezahlt*DarlehenIstGut,Kapital,""), "")</f>
        <v>115.59419324998815</v>
      </c>
      <c r="G95" s="11">
        <f ca="1">IFERROR(IF(DarlehenNichtBezahlt*DarlehenIstGut,ZinsBetrag,""), "")</f>
        <v>20.063654200612763</v>
      </c>
      <c r="H95" s="11">
        <f ca="1">IFERROR(IF(DarlehenNichtBezahlt*DarlehenIstGut,AbschlussSaldo,""), "")</f>
        <v>4261.9303596109585</v>
      </c>
    </row>
    <row r="96" spans="2:8" ht="20.149999999999999" customHeight="1">
      <c r="B96" s="9">
        <f ca="1">IFERROR(IF(DarlehenNichtBezahlt*DarlehenIstGut,ZahlungNummer,""), "")</f>
        <v>87</v>
      </c>
      <c r="C96" s="10">
        <f ca="1">IFERROR(IF(DarlehenNichtBezahlt*DarlehenIstGut,ZahlungsDatum,""), "")</f>
        <v>46798</v>
      </c>
      <c r="D96" s="11">
        <f ca="1">IFERROR(IF(DarlehenNichtBezahlt*DarlehenIstGut,DarlehensWert,""), "")</f>
        <v>4261.9303596109585</v>
      </c>
      <c r="E96" s="11">
        <f ca="1">IFERROR(IF(DarlehenNichtBezahlt*DarlehenIstGut,MonatlicheZahlung,""), "")</f>
        <v>135.65784745060091</v>
      </c>
      <c r="F96" s="11">
        <f ca="1">IFERROR(IF(DarlehenNichtBezahlt*DarlehenIstGut,Kapital,""), "")</f>
        <v>116.12399996905059</v>
      </c>
      <c r="G96" s="11">
        <f ca="1">IFERROR(IF(DarlehenNichtBezahlt*DarlehenIstGut,ZinsBetrag,""), "")</f>
        <v>19.533847481550314</v>
      </c>
      <c r="H96" s="11">
        <f ca="1">IFERROR(IF(DarlehenNichtBezahlt*DarlehenIstGut,AbschlussSaldo,""), "")</f>
        <v>4145.806359641907</v>
      </c>
    </row>
    <row r="97" spans="2:8" ht="20.149999999999999" customHeight="1">
      <c r="B97" s="9">
        <f ca="1">IFERROR(IF(DarlehenNichtBezahlt*DarlehenIstGut,ZahlungNummer,""), "")</f>
        <v>88</v>
      </c>
      <c r="C97" s="10">
        <f ca="1">IFERROR(IF(DarlehenNichtBezahlt*DarlehenIstGut,ZahlungsDatum,""), "")</f>
        <v>46827</v>
      </c>
      <c r="D97" s="11">
        <f ca="1">IFERROR(IF(DarlehenNichtBezahlt*DarlehenIstGut,DarlehensWert,""), "")</f>
        <v>4145.806359641907</v>
      </c>
      <c r="E97" s="11">
        <f ca="1">IFERROR(IF(DarlehenNichtBezahlt*DarlehenIstGut,MonatlicheZahlung,""), "")</f>
        <v>135.65784745060091</v>
      </c>
      <c r="F97" s="11">
        <f ca="1">IFERROR(IF(DarlehenNichtBezahlt*DarlehenIstGut,Kapital,""), "")</f>
        <v>116.65623496890875</v>
      </c>
      <c r="G97" s="11">
        <f ca="1">IFERROR(IF(DarlehenNichtBezahlt*DarlehenIstGut,ZinsBetrag,""), "")</f>
        <v>19.001612481692167</v>
      </c>
      <c r="H97" s="11">
        <f ca="1">IFERROR(IF(DarlehenNichtBezahlt*DarlehenIstGut,AbschlussSaldo,""), "")</f>
        <v>4029.1501246729986</v>
      </c>
    </row>
    <row r="98" spans="2:8" ht="20.149999999999999" customHeight="1">
      <c r="B98" s="9">
        <f ca="1">IFERROR(IF(DarlehenNichtBezahlt*DarlehenIstGut,ZahlungNummer,""), "")</f>
        <v>89</v>
      </c>
      <c r="C98" s="10">
        <f ca="1">IFERROR(IF(DarlehenNichtBezahlt*DarlehenIstGut,ZahlungsDatum,""), "")</f>
        <v>46858</v>
      </c>
      <c r="D98" s="11">
        <f ca="1">IFERROR(IF(DarlehenNichtBezahlt*DarlehenIstGut,DarlehensWert,""), "")</f>
        <v>4029.1501246729986</v>
      </c>
      <c r="E98" s="11">
        <f ca="1">IFERROR(IF(DarlehenNichtBezahlt*DarlehenIstGut,MonatlicheZahlung,""), "")</f>
        <v>135.65784745060091</v>
      </c>
      <c r="F98" s="11">
        <f ca="1">IFERROR(IF(DarlehenNichtBezahlt*DarlehenIstGut,Kapital,""), "")</f>
        <v>117.19090937918291</v>
      </c>
      <c r="G98" s="11">
        <f ca="1">IFERROR(IF(DarlehenNichtBezahlt*DarlehenIstGut,ZinsBetrag,""), "")</f>
        <v>18.466938071418003</v>
      </c>
      <c r="H98" s="11">
        <f ca="1">IFERROR(IF(DarlehenNichtBezahlt*DarlehenIstGut,AbschlussSaldo,""), "")</f>
        <v>3911.9592152938167</v>
      </c>
    </row>
    <row r="99" spans="2:8" ht="20.149999999999999" customHeight="1">
      <c r="B99" s="9">
        <f ca="1">IFERROR(IF(DarlehenNichtBezahlt*DarlehenIstGut,ZahlungNummer,""), "")</f>
        <v>90</v>
      </c>
      <c r="C99" s="10">
        <f ca="1">IFERROR(IF(DarlehenNichtBezahlt*DarlehenIstGut,ZahlungsDatum,""), "")</f>
        <v>46888</v>
      </c>
      <c r="D99" s="11">
        <f ca="1">IFERROR(IF(DarlehenNichtBezahlt*DarlehenIstGut,DarlehensWert,""), "")</f>
        <v>3911.9592152938167</v>
      </c>
      <c r="E99" s="11">
        <f ca="1">IFERROR(IF(DarlehenNichtBezahlt*DarlehenIstGut,MonatlicheZahlung,""), "")</f>
        <v>135.65784745060091</v>
      </c>
      <c r="F99" s="11">
        <f ca="1">IFERROR(IF(DarlehenNichtBezahlt*DarlehenIstGut,Kapital,""), "")</f>
        <v>117.72803438050417</v>
      </c>
      <c r="G99" s="11">
        <f ca="1">IFERROR(IF(DarlehenNichtBezahlt*DarlehenIstGut,ZinsBetrag,""), "")</f>
        <v>17.929813070096753</v>
      </c>
      <c r="H99" s="11">
        <f ca="1">IFERROR(IF(DarlehenNichtBezahlt*DarlehenIstGut,AbschlussSaldo,""), "")</f>
        <v>3794.2311809133134</v>
      </c>
    </row>
    <row r="100" spans="2:8" ht="20.149999999999999" customHeight="1">
      <c r="B100" s="9">
        <f ca="1">IFERROR(IF(DarlehenNichtBezahlt*DarlehenIstGut,ZahlungNummer,""), "")</f>
        <v>91</v>
      </c>
      <c r="C100" s="10">
        <f ca="1">IFERROR(IF(DarlehenNichtBezahlt*DarlehenIstGut,ZahlungsDatum,""), "")</f>
        <v>46919</v>
      </c>
      <c r="D100" s="11">
        <f ca="1">IFERROR(IF(DarlehenNichtBezahlt*DarlehenIstGut,DarlehensWert,""), "")</f>
        <v>3794.2311809133134</v>
      </c>
      <c r="E100" s="11">
        <f ca="1">IFERROR(IF(DarlehenNichtBezahlt*DarlehenIstGut,MonatlicheZahlung,""), "")</f>
        <v>135.65784745060091</v>
      </c>
      <c r="F100" s="11">
        <f ca="1">IFERROR(IF(DarlehenNichtBezahlt*DarlehenIstGut,Kapital,""), "")</f>
        <v>118.26762120474814</v>
      </c>
      <c r="G100" s="11">
        <f ca="1">IFERROR(IF(DarlehenNichtBezahlt*DarlehenIstGut,ZinsBetrag,""), "")</f>
        <v>17.390226245852773</v>
      </c>
      <c r="H100" s="11">
        <f ca="1">IFERROR(IF(DarlehenNichtBezahlt*DarlehenIstGut,AbschlussSaldo,""), "")</f>
        <v>3675.9635597085653</v>
      </c>
    </row>
    <row r="101" spans="2:8" ht="20.149999999999999" customHeight="1">
      <c r="B101" s="9">
        <f ca="1">IFERROR(IF(DarlehenNichtBezahlt*DarlehenIstGut,ZahlungNummer,""), "")</f>
        <v>92</v>
      </c>
      <c r="C101" s="10">
        <f ca="1">IFERROR(IF(DarlehenNichtBezahlt*DarlehenIstGut,ZahlungsDatum,""), "")</f>
        <v>46949</v>
      </c>
      <c r="D101" s="11">
        <f ca="1">IFERROR(IF(DarlehenNichtBezahlt*DarlehenIstGut,DarlehensWert,""), "")</f>
        <v>3675.9635597085653</v>
      </c>
      <c r="E101" s="11">
        <f ca="1">IFERROR(IF(DarlehenNichtBezahlt*DarlehenIstGut,MonatlicheZahlung,""), "")</f>
        <v>135.65784745060091</v>
      </c>
      <c r="F101" s="11">
        <f ca="1">IFERROR(IF(DarlehenNichtBezahlt*DarlehenIstGut,Kapital,""), "")</f>
        <v>118.8096811352699</v>
      </c>
      <c r="G101" s="11">
        <f ca="1">IFERROR(IF(DarlehenNichtBezahlt*DarlehenIstGut,ZinsBetrag,""), "")</f>
        <v>16.848166315331007</v>
      </c>
      <c r="H101" s="11">
        <f ca="1">IFERROR(IF(DarlehenNichtBezahlt*DarlehenIstGut,AbschlussSaldo,""), "")</f>
        <v>3557.1538785732973</v>
      </c>
    </row>
    <row r="102" spans="2:8" ht="20.149999999999999" customHeight="1">
      <c r="B102" s="9">
        <f ca="1">IFERROR(IF(DarlehenNichtBezahlt*DarlehenIstGut,ZahlungNummer,""), "")</f>
        <v>93</v>
      </c>
      <c r="C102" s="10">
        <f ca="1">IFERROR(IF(DarlehenNichtBezahlt*DarlehenIstGut,ZahlungsDatum,""), "")</f>
        <v>46980</v>
      </c>
      <c r="D102" s="11">
        <f ca="1">IFERROR(IF(DarlehenNichtBezahlt*DarlehenIstGut,DarlehensWert,""), "")</f>
        <v>3557.1538785732973</v>
      </c>
      <c r="E102" s="11">
        <f ca="1">IFERROR(IF(DarlehenNichtBezahlt*DarlehenIstGut,MonatlicheZahlung,""), "")</f>
        <v>135.65784745060091</v>
      </c>
      <c r="F102" s="11">
        <f ca="1">IFERROR(IF(DarlehenNichtBezahlt*DarlehenIstGut,Kapital,""), "")</f>
        <v>119.35422550713989</v>
      </c>
      <c r="G102" s="11">
        <f ca="1">IFERROR(IF(DarlehenNichtBezahlt*DarlehenIstGut,ZinsBetrag,""), "")</f>
        <v>16.303621943461017</v>
      </c>
      <c r="H102" s="11">
        <f ca="1">IFERROR(IF(DarlehenNichtBezahlt*DarlehenIstGut,AbschlussSaldo,""), "")</f>
        <v>3437.799653066153</v>
      </c>
    </row>
    <row r="103" spans="2:8" ht="20.149999999999999" customHeight="1">
      <c r="B103" s="9">
        <f ca="1">IFERROR(IF(DarlehenNichtBezahlt*DarlehenIstGut,ZahlungNummer,""), "")</f>
        <v>94</v>
      </c>
      <c r="C103" s="10">
        <f ca="1">IFERROR(IF(DarlehenNichtBezahlt*DarlehenIstGut,ZahlungsDatum,""), "")</f>
        <v>47011</v>
      </c>
      <c r="D103" s="11">
        <f ca="1">IFERROR(IF(DarlehenNichtBezahlt*DarlehenIstGut,DarlehensWert,""), "")</f>
        <v>3437.799653066153</v>
      </c>
      <c r="E103" s="11">
        <f ca="1">IFERROR(IF(DarlehenNichtBezahlt*DarlehenIstGut,MonatlicheZahlung,""), "")</f>
        <v>135.65784745060091</v>
      </c>
      <c r="F103" s="11">
        <f ca="1">IFERROR(IF(DarlehenNichtBezahlt*DarlehenIstGut,Kapital,""), "")</f>
        <v>119.90126570738096</v>
      </c>
      <c r="G103" s="11">
        <f ca="1">IFERROR(IF(DarlehenNichtBezahlt*DarlehenIstGut,ZinsBetrag,""), "")</f>
        <v>15.756581743219963</v>
      </c>
      <c r="H103" s="11">
        <f ca="1">IFERROR(IF(DarlehenNichtBezahlt*DarlehenIstGut,AbschlussSaldo,""), "")</f>
        <v>3317.8983873587749</v>
      </c>
    </row>
    <row r="104" spans="2:8" ht="20.149999999999999" customHeight="1">
      <c r="B104" s="9">
        <f ca="1">IFERROR(IF(DarlehenNichtBezahlt*DarlehenIstGut,ZahlungNummer,""), "")</f>
        <v>95</v>
      </c>
      <c r="C104" s="10">
        <f ca="1">IFERROR(IF(DarlehenNichtBezahlt*DarlehenIstGut,ZahlungsDatum,""), "")</f>
        <v>47041</v>
      </c>
      <c r="D104" s="11">
        <f ca="1">IFERROR(IF(DarlehenNichtBezahlt*DarlehenIstGut,DarlehensWert,""), "")</f>
        <v>3317.8983873587749</v>
      </c>
      <c r="E104" s="11">
        <f ca="1">IFERROR(IF(DarlehenNichtBezahlt*DarlehenIstGut,MonatlicheZahlung,""), "")</f>
        <v>135.65784745060091</v>
      </c>
      <c r="F104" s="11">
        <f ca="1">IFERROR(IF(DarlehenNichtBezahlt*DarlehenIstGut,Kapital,""), "")</f>
        <v>120.45081317520645</v>
      </c>
      <c r="G104" s="11">
        <f ca="1">IFERROR(IF(DarlehenNichtBezahlt*DarlehenIstGut,ZinsBetrag,""), "")</f>
        <v>15.207034275394468</v>
      </c>
      <c r="H104" s="11">
        <f ca="1">IFERROR(IF(DarlehenNichtBezahlt*DarlehenIstGut,AbschlussSaldo,""), "")</f>
        <v>3197.4475741835686</v>
      </c>
    </row>
    <row r="105" spans="2:8" ht="20.149999999999999" customHeight="1">
      <c r="B105" s="9">
        <f ca="1">IFERROR(IF(DarlehenNichtBezahlt*DarlehenIstGut,ZahlungNummer,""), "")</f>
        <v>96</v>
      </c>
      <c r="C105" s="10">
        <f ca="1">IFERROR(IF(DarlehenNichtBezahlt*DarlehenIstGut,ZahlungsDatum,""), "")</f>
        <v>47072</v>
      </c>
      <c r="D105" s="11">
        <f ca="1">IFERROR(IF(DarlehenNichtBezahlt*DarlehenIstGut,DarlehensWert,""), "")</f>
        <v>3197.4475741835686</v>
      </c>
      <c r="E105" s="11">
        <f ca="1">IFERROR(IF(DarlehenNichtBezahlt*DarlehenIstGut,MonatlicheZahlung,""), "")</f>
        <v>135.65784745060091</v>
      </c>
      <c r="F105" s="11">
        <f ca="1">IFERROR(IF(DarlehenNichtBezahlt*DarlehenIstGut,Kapital,""), "")</f>
        <v>121.00287940225948</v>
      </c>
      <c r="G105" s="11">
        <f ca="1">IFERROR(IF(DarlehenNichtBezahlt*DarlehenIstGut,ZinsBetrag,""), "")</f>
        <v>14.654968048341438</v>
      </c>
      <c r="H105" s="11">
        <f ca="1">IFERROR(IF(DarlehenNichtBezahlt*DarlehenIstGut,AbschlussSaldo,""), "")</f>
        <v>3076.4446947813012</v>
      </c>
    </row>
    <row r="106" spans="2:8" ht="20.149999999999999" customHeight="1">
      <c r="B106" s="9">
        <f ca="1">IFERROR(IF(DarlehenNichtBezahlt*DarlehenIstGut,ZahlungNummer,""), "")</f>
        <v>97</v>
      </c>
      <c r="C106" s="10">
        <f ca="1">IFERROR(IF(DarlehenNichtBezahlt*DarlehenIstGut,ZahlungsDatum,""), "")</f>
        <v>47102</v>
      </c>
      <c r="D106" s="11">
        <f ca="1">IFERROR(IF(DarlehenNichtBezahlt*DarlehenIstGut,DarlehensWert,""), "")</f>
        <v>3076.4446947813012</v>
      </c>
      <c r="E106" s="11">
        <f ca="1">IFERROR(IF(DarlehenNichtBezahlt*DarlehenIstGut,MonatlicheZahlung,""), "")</f>
        <v>135.65784745060091</v>
      </c>
      <c r="F106" s="11">
        <f ca="1">IFERROR(IF(DarlehenNichtBezahlt*DarlehenIstGut,Kapital,""), "")</f>
        <v>121.55747593285317</v>
      </c>
      <c r="G106" s="11">
        <f ca="1">IFERROR(IF(DarlehenNichtBezahlt*DarlehenIstGut,ZinsBetrag,""), "")</f>
        <v>14.10037151774775</v>
      </c>
      <c r="H106" s="11">
        <f ca="1">IFERROR(IF(DarlehenNichtBezahlt*DarlehenIstGut,AbschlussSaldo,""), "")</f>
        <v>2954.8872188484493</v>
      </c>
    </row>
    <row r="107" spans="2:8" ht="20.149999999999999" customHeight="1">
      <c r="B107" s="9">
        <f ca="1">IFERROR(IF(DarlehenNichtBezahlt*DarlehenIstGut,ZahlungNummer,""), "")</f>
        <v>98</v>
      </c>
      <c r="C107" s="10">
        <f ca="1">IFERROR(IF(DarlehenNichtBezahlt*DarlehenIstGut,ZahlungsDatum,""), "")</f>
        <v>47133</v>
      </c>
      <c r="D107" s="11">
        <f ca="1">IFERROR(IF(DarlehenNichtBezahlt*DarlehenIstGut,DarlehensWert,""), "")</f>
        <v>2954.8872188484493</v>
      </c>
      <c r="E107" s="11">
        <f ca="1">IFERROR(IF(DarlehenNichtBezahlt*DarlehenIstGut,MonatlicheZahlung,""), "")</f>
        <v>135.65784745060091</v>
      </c>
      <c r="F107" s="11">
        <f ca="1">IFERROR(IF(DarlehenNichtBezahlt*DarlehenIstGut,Kapital,""), "")</f>
        <v>122.11461436421207</v>
      </c>
      <c r="G107" s="11">
        <f ca="1">IFERROR(IF(DarlehenNichtBezahlt*DarlehenIstGut,ZinsBetrag,""), "")</f>
        <v>13.543233086388838</v>
      </c>
      <c r="H107" s="11">
        <f ca="1">IFERROR(IF(DarlehenNichtBezahlt*DarlehenIstGut,AbschlussSaldo,""), "")</f>
        <v>2832.7726044842384</v>
      </c>
    </row>
    <row r="108" spans="2:8" ht="20.149999999999999" customHeight="1">
      <c r="B108" s="9">
        <f ca="1">IFERROR(IF(DarlehenNichtBezahlt*DarlehenIstGut,ZahlungNummer,""), "")</f>
        <v>99</v>
      </c>
      <c r="C108" s="10">
        <f ca="1">IFERROR(IF(DarlehenNichtBezahlt*DarlehenIstGut,ZahlungsDatum,""), "")</f>
        <v>47164</v>
      </c>
      <c r="D108" s="11">
        <f ca="1">IFERROR(IF(DarlehenNichtBezahlt*DarlehenIstGut,DarlehensWert,""), "")</f>
        <v>2832.7726044842384</v>
      </c>
      <c r="E108" s="11">
        <f ca="1">IFERROR(IF(DarlehenNichtBezahlt*DarlehenIstGut,MonatlicheZahlung,""), "")</f>
        <v>135.65784745060091</v>
      </c>
      <c r="F108" s="11">
        <f ca="1">IFERROR(IF(DarlehenNichtBezahlt*DarlehenIstGut,Kapital,""), "")</f>
        <v>122.67430634671472</v>
      </c>
      <c r="G108" s="11">
        <f ca="1">IFERROR(IF(DarlehenNichtBezahlt*DarlehenIstGut,ZinsBetrag,""), "")</f>
        <v>12.9835411038862</v>
      </c>
      <c r="H108" s="11">
        <f ca="1">IFERROR(IF(DarlehenNichtBezahlt*DarlehenIstGut,AbschlussSaldo,""), "")</f>
        <v>2710.0982981375237</v>
      </c>
    </row>
    <row r="109" spans="2:8" ht="20.149999999999999" customHeight="1">
      <c r="B109" s="9">
        <f ca="1">IFERROR(IF(DarlehenNichtBezahlt*DarlehenIstGut,ZahlungNummer,""), "")</f>
        <v>100</v>
      </c>
      <c r="C109" s="10">
        <f ca="1">IFERROR(IF(DarlehenNichtBezahlt*DarlehenIstGut,ZahlungsDatum,""), "")</f>
        <v>47192</v>
      </c>
      <c r="D109" s="11">
        <f ca="1">IFERROR(IF(DarlehenNichtBezahlt*DarlehenIstGut,DarlehensWert,""), "")</f>
        <v>2710.0982981375237</v>
      </c>
      <c r="E109" s="11">
        <f ca="1">IFERROR(IF(DarlehenNichtBezahlt*DarlehenIstGut,MonatlicheZahlung,""), "")</f>
        <v>135.65784745060091</v>
      </c>
      <c r="F109" s="11">
        <f ca="1">IFERROR(IF(DarlehenNichtBezahlt*DarlehenIstGut,Kapital,""), "")</f>
        <v>123.23656358413716</v>
      </c>
      <c r="G109" s="11">
        <f ca="1">IFERROR(IF(DarlehenNichtBezahlt*DarlehenIstGut,ZinsBetrag,""), "")</f>
        <v>12.421283866463757</v>
      </c>
      <c r="H109" s="11">
        <f ca="1">IFERROR(IF(DarlehenNichtBezahlt*DarlehenIstGut,AbschlussSaldo,""), "")</f>
        <v>2586.8617345533858</v>
      </c>
    </row>
    <row r="110" spans="2:8" ht="20.149999999999999" customHeight="1">
      <c r="B110" s="9">
        <f ca="1">IFERROR(IF(DarlehenNichtBezahlt*DarlehenIstGut,ZahlungNummer,""), "")</f>
        <v>101</v>
      </c>
      <c r="C110" s="10">
        <f ca="1">IFERROR(IF(DarlehenNichtBezahlt*DarlehenIstGut,ZahlungsDatum,""), "")</f>
        <v>47223</v>
      </c>
      <c r="D110" s="11">
        <f ca="1">IFERROR(IF(DarlehenNichtBezahlt*DarlehenIstGut,DarlehensWert,""), "")</f>
        <v>2586.8617345533858</v>
      </c>
      <c r="E110" s="11">
        <f ca="1">IFERROR(IF(DarlehenNichtBezahlt*DarlehenIstGut,MonatlicheZahlung,""), "")</f>
        <v>135.65784745060091</v>
      </c>
      <c r="F110" s="11">
        <f ca="1">IFERROR(IF(DarlehenNichtBezahlt*DarlehenIstGut,Kapital,""), "")</f>
        <v>123.80139783389778</v>
      </c>
      <c r="G110" s="11">
        <f ca="1">IFERROR(IF(DarlehenNichtBezahlt*DarlehenIstGut,ZinsBetrag,""), "")</f>
        <v>11.856449616703129</v>
      </c>
      <c r="H110" s="11">
        <f ca="1">IFERROR(IF(DarlehenNichtBezahlt*DarlehenIstGut,AbschlussSaldo,""), "")</f>
        <v>2463.0603367194853</v>
      </c>
    </row>
    <row r="111" spans="2:8" ht="20.149999999999999" customHeight="1">
      <c r="B111" s="9">
        <f ca="1">IFERROR(IF(DarlehenNichtBezahlt*DarlehenIstGut,ZahlungNummer,""), "")</f>
        <v>102</v>
      </c>
      <c r="C111" s="10">
        <f ca="1">IFERROR(IF(DarlehenNichtBezahlt*DarlehenIstGut,ZahlungsDatum,""), "")</f>
        <v>47253</v>
      </c>
      <c r="D111" s="11">
        <f ca="1">IFERROR(IF(DarlehenNichtBezahlt*DarlehenIstGut,DarlehensWert,""), "")</f>
        <v>2463.0603367194853</v>
      </c>
      <c r="E111" s="11">
        <f ca="1">IFERROR(IF(DarlehenNichtBezahlt*DarlehenIstGut,MonatlicheZahlung,""), "")</f>
        <v>135.65784745060091</v>
      </c>
      <c r="F111" s="11">
        <f ca="1">IFERROR(IF(DarlehenNichtBezahlt*DarlehenIstGut,Kapital,""), "")</f>
        <v>124.36882090730315</v>
      </c>
      <c r="G111" s="11">
        <f ca="1">IFERROR(IF(DarlehenNichtBezahlt*DarlehenIstGut,ZinsBetrag,""), "")</f>
        <v>11.289026543297762</v>
      </c>
      <c r="H111" s="11">
        <f ca="1">IFERROR(IF(DarlehenNichtBezahlt*DarlehenIstGut,AbschlussSaldo,""), "")</f>
        <v>2338.691515812181</v>
      </c>
    </row>
    <row r="112" spans="2:8" ht="20.149999999999999" customHeight="1">
      <c r="B112" s="9">
        <f ca="1">IFERROR(IF(DarlehenNichtBezahlt*DarlehenIstGut,ZahlungNummer,""), "")</f>
        <v>103</v>
      </c>
      <c r="C112" s="10">
        <f ca="1">IFERROR(IF(DarlehenNichtBezahlt*DarlehenIstGut,ZahlungsDatum,""), "")</f>
        <v>47284</v>
      </c>
      <c r="D112" s="11">
        <f ca="1">IFERROR(IF(DarlehenNichtBezahlt*DarlehenIstGut,DarlehensWert,""), "")</f>
        <v>2338.691515812181</v>
      </c>
      <c r="E112" s="11">
        <f ca="1">IFERROR(IF(DarlehenNichtBezahlt*DarlehenIstGut,MonatlicheZahlung,""), "")</f>
        <v>135.65784745060091</v>
      </c>
      <c r="F112" s="11">
        <f ca="1">IFERROR(IF(DarlehenNichtBezahlt*DarlehenIstGut,Kapital,""), "")</f>
        <v>124.93884466979495</v>
      </c>
      <c r="G112" s="11">
        <f ca="1">IFERROR(IF(DarlehenNichtBezahlt*DarlehenIstGut,ZinsBetrag,""), "")</f>
        <v>10.719002780805956</v>
      </c>
      <c r="H112" s="11">
        <f ca="1">IFERROR(IF(DarlehenNichtBezahlt*DarlehenIstGut,AbschlussSaldo,""), "")</f>
        <v>2213.7526711423889</v>
      </c>
    </row>
    <row r="113" spans="2:8" ht="20.149999999999999" customHeight="1">
      <c r="B113" s="9">
        <f ca="1">IFERROR(IF(DarlehenNichtBezahlt*DarlehenIstGut,ZahlungNummer,""), "")</f>
        <v>104</v>
      </c>
      <c r="C113" s="10">
        <f ca="1">IFERROR(IF(DarlehenNichtBezahlt*DarlehenIstGut,ZahlungsDatum,""), "")</f>
        <v>47314</v>
      </c>
      <c r="D113" s="11">
        <f ca="1">IFERROR(IF(DarlehenNichtBezahlt*DarlehenIstGut,DarlehensWert,""), "")</f>
        <v>2213.7526711423889</v>
      </c>
      <c r="E113" s="11">
        <f ca="1">IFERROR(IF(DarlehenNichtBezahlt*DarlehenIstGut,MonatlicheZahlung,""), "")</f>
        <v>135.65784745060091</v>
      </c>
      <c r="F113" s="11">
        <f ca="1">IFERROR(IF(DarlehenNichtBezahlt*DarlehenIstGut,Kapital,""), "")</f>
        <v>125.51148104119818</v>
      </c>
      <c r="G113" s="11">
        <f ca="1">IFERROR(IF(DarlehenNichtBezahlt*DarlehenIstGut,ZinsBetrag,""), "")</f>
        <v>10.146366409402729</v>
      </c>
      <c r="H113" s="11">
        <f ca="1">IFERROR(IF(DarlehenNichtBezahlt*DarlehenIstGut,AbschlussSaldo,""), "")</f>
        <v>2088.2411901011947</v>
      </c>
    </row>
    <row r="114" spans="2:8" ht="20.149999999999999" customHeight="1">
      <c r="B114" s="9">
        <f ca="1">IFERROR(IF(DarlehenNichtBezahlt*DarlehenIstGut,ZahlungNummer,""), "")</f>
        <v>105</v>
      </c>
      <c r="C114" s="10">
        <f ca="1">IFERROR(IF(DarlehenNichtBezahlt*DarlehenIstGut,ZahlungsDatum,""), "")</f>
        <v>47345</v>
      </c>
      <c r="D114" s="11">
        <f ca="1">IFERROR(IF(DarlehenNichtBezahlt*DarlehenIstGut,DarlehensWert,""), "")</f>
        <v>2088.2411901011947</v>
      </c>
      <c r="E114" s="11">
        <f ca="1">IFERROR(IF(DarlehenNichtBezahlt*DarlehenIstGut,MonatlicheZahlung,""), "")</f>
        <v>135.65784745060091</v>
      </c>
      <c r="F114" s="11">
        <f ca="1">IFERROR(IF(DarlehenNichtBezahlt*DarlehenIstGut,Kapital,""), "")</f>
        <v>126.08674199597036</v>
      </c>
      <c r="G114" s="11">
        <f ca="1">IFERROR(IF(DarlehenNichtBezahlt*DarlehenIstGut,ZinsBetrag,""), "")</f>
        <v>9.5711054546305743</v>
      </c>
      <c r="H114" s="11">
        <f ca="1">IFERROR(IF(DarlehenNichtBezahlt*DarlehenIstGut,AbschlussSaldo,""), "")</f>
        <v>1962.1544481052188</v>
      </c>
    </row>
    <row r="115" spans="2:8" ht="20.149999999999999" customHeight="1">
      <c r="B115" s="9">
        <f ca="1">IFERROR(IF(DarlehenNichtBezahlt*DarlehenIstGut,ZahlungNummer,""), "")</f>
        <v>106</v>
      </c>
      <c r="C115" s="10">
        <f ca="1">IFERROR(IF(DarlehenNichtBezahlt*DarlehenIstGut,ZahlungsDatum,""), "")</f>
        <v>47376</v>
      </c>
      <c r="D115" s="11">
        <f ca="1">IFERROR(IF(DarlehenNichtBezahlt*DarlehenIstGut,DarlehensWert,""), "")</f>
        <v>1962.1544481052188</v>
      </c>
      <c r="E115" s="11">
        <f ca="1">IFERROR(IF(DarlehenNichtBezahlt*DarlehenIstGut,MonatlicheZahlung,""), "")</f>
        <v>135.65784745060091</v>
      </c>
      <c r="F115" s="11">
        <f ca="1">IFERROR(IF(DarlehenNichtBezahlt*DarlehenIstGut,Kapital,""), "")</f>
        <v>126.66463956345187</v>
      </c>
      <c r="G115" s="11">
        <f ca="1">IFERROR(IF(DarlehenNichtBezahlt*DarlehenIstGut,ZinsBetrag,""), "")</f>
        <v>8.9932078871490422</v>
      </c>
      <c r="H115" s="11">
        <f ca="1">IFERROR(IF(DarlehenNichtBezahlt*DarlehenIstGut,AbschlussSaldo,""), "")</f>
        <v>1835.4898085417699</v>
      </c>
    </row>
    <row r="116" spans="2:8" ht="20.149999999999999" customHeight="1">
      <c r="B116" s="9">
        <f ca="1">IFERROR(IF(DarlehenNichtBezahlt*DarlehenIstGut,ZahlungNummer,""), "")</f>
        <v>107</v>
      </c>
      <c r="C116" s="10">
        <f ca="1">IFERROR(IF(DarlehenNichtBezahlt*DarlehenIstGut,ZahlungsDatum,""), "")</f>
        <v>47406</v>
      </c>
      <c r="D116" s="11">
        <f ca="1">IFERROR(IF(DarlehenNichtBezahlt*DarlehenIstGut,DarlehensWert,""), "")</f>
        <v>1835.4898085417699</v>
      </c>
      <c r="E116" s="11">
        <f ca="1">IFERROR(IF(DarlehenNichtBezahlt*DarlehenIstGut,MonatlicheZahlung,""), "")</f>
        <v>135.65784745060091</v>
      </c>
      <c r="F116" s="11">
        <f ca="1">IFERROR(IF(DarlehenNichtBezahlt*DarlehenIstGut,Kapital,""), "")</f>
        <v>127.24518582811768</v>
      </c>
      <c r="G116" s="11">
        <f ca="1">IFERROR(IF(DarlehenNichtBezahlt*DarlehenIstGut,ZinsBetrag,""), "")</f>
        <v>8.4126616224832187</v>
      </c>
      <c r="H116" s="11">
        <f ca="1">IFERROR(IF(DarlehenNichtBezahlt*DarlehenIstGut,AbschlussSaldo,""), "")</f>
        <v>1708.2446227136461</v>
      </c>
    </row>
    <row r="117" spans="2:8" ht="20.149999999999999" customHeight="1">
      <c r="B117" s="9">
        <f ca="1">IFERROR(IF(DarlehenNichtBezahlt*DarlehenIstGut,ZahlungNummer,""), "")</f>
        <v>108</v>
      </c>
      <c r="C117" s="10">
        <f ca="1">IFERROR(IF(DarlehenNichtBezahlt*DarlehenIstGut,ZahlungsDatum,""), "")</f>
        <v>47437</v>
      </c>
      <c r="D117" s="11">
        <f ca="1">IFERROR(IF(DarlehenNichtBezahlt*DarlehenIstGut,DarlehensWert,""), "")</f>
        <v>1708.2446227136461</v>
      </c>
      <c r="E117" s="11">
        <f ca="1">IFERROR(IF(DarlehenNichtBezahlt*DarlehenIstGut,MonatlicheZahlung,""), "")</f>
        <v>135.65784745060091</v>
      </c>
      <c r="F117" s="11">
        <f ca="1">IFERROR(IF(DarlehenNichtBezahlt*DarlehenIstGut,Kapital,""), "")</f>
        <v>127.8283929298299</v>
      </c>
      <c r="G117" s="11">
        <f ca="1">IFERROR(IF(DarlehenNichtBezahlt*DarlehenIstGut,ZinsBetrag,""), "")</f>
        <v>7.8294545207710131</v>
      </c>
      <c r="H117" s="11">
        <f ca="1">IFERROR(IF(DarlehenNichtBezahlt*DarlehenIstGut,AbschlussSaldo,""), "")</f>
        <v>1580.4162297838229</v>
      </c>
    </row>
    <row r="118" spans="2:8" ht="20.149999999999999" customHeight="1">
      <c r="B118" s="9">
        <f ca="1">IFERROR(IF(DarlehenNichtBezahlt*DarlehenIstGut,ZahlungNummer,""), "")</f>
        <v>109</v>
      </c>
      <c r="C118" s="10">
        <f ca="1">IFERROR(IF(DarlehenNichtBezahlt*DarlehenIstGut,ZahlungsDatum,""), "")</f>
        <v>47467</v>
      </c>
      <c r="D118" s="11">
        <f ca="1">IFERROR(IF(DarlehenNichtBezahlt*DarlehenIstGut,DarlehensWert,""), "")</f>
        <v>1580.4162297838229</v>
      </c>
      <c r="E118" s="11">
        <f ca="1">IFERROR(IF(DarlehenNichtBezahlt*DarlehenIstGut,MonatlicheZahlung,""), "")</f>
        <v>135.65784745060091</v>
      </c>
      <c r="F118" s="11">
        <f ca="1">IFERROR(IF(DarlehenNichtBezahlt*DarlehenIstGut,Kapital,""), "")</f>
        <v>128.41427306409162</v>
      </c>
      <c r="G118" s="11">
        <f ca="1">IFERROR(IF(DarlehenNichtBezahlt*DarlehenIstGut,ZinsBetrag,""), "")</f>
        <v>7.2435743865092936</v>
      </c>
      <c r="H118" s="11">
        <f ca="1">IFERROR(IF(DarlehenNichtBezahlt*DarlehenIstGut,AbschlussSaldo,""), "")</f>
        <v>1452.0019567197305</v>
      </c>
    </row>
    <row r="119" spans="2:8" ht="20.149999999999999" customHeight="1">
      <c r="B119" s="9">
        <f ca="1">IFERROR(IF(DarlehenNichtBezahlt*DarlehenIstGut,ZahlungNummer,""), "")</f>
        <v>110</v>
      </c>
      <c r="C119" s="10">
        <f ca="1">IFERROR(IF(DarlehenNichtBezahlt*DarlehenIstGut,ZahlungsDatum,""), "")</f>
        <v>47498</v>
      </c>
      <c r="D119" s="11">
        <f ca="1">IFERROR(IF(DarlehenNichtBezahlt*DarlehenIstGut,DarlehensWert,""), "")</f>
        <v>1452.0019567197305</v>
      </c>
      <c r="E119" s="11">
        <f ca="1">IFERROR(IF(DarlehenNichtBezahlt*DarlehenIstGut,MonatlicheZahlung,""), "")</f>
        <v>135.65784745060091</v>
      </c>
      <c r="F119" s="11">
        <f ca="1">IFERROR(IF(DarlehenNichtBezahlt*DarlehenIstGut,Kapital,""), "")</f>
        <v>129.00283848230202</v>
      </c>
      <c r="G119" s="11">
        <f ca="1">IFERROR(IF(DarlehenNichtBezahlt*DarlehenIstGut,ZinsBetrag,""), "")</f>
        <v>6.6550089682988744</v>
      </c>
      <c r="H119" s="11">
        <f ca="1">IFERROR(IF(DarlehenNichtBezahlt*DarlehenIstGut,AbschlussSaldo,""), "")</f>
        <v>1322.9991182374251</v>
      </c>
    </row>
    <row r="120" spans="2:8" ht="20.149999999999999" customHeight="1">
      <c r="B120" s="9">
        <f ca="1">IFERROR(IF(DarlehenNichtBezahlt*DarlehenIstGut,ZahlungNummer,""), "")</f>
        <v>111</v>
      </c>
      <c r="C120" s="10">
        <f ca="1">IFERROR(IF(DarlehenNichtBezahlt*DarlehenIstGut,ZahlungsDatum,""), "")</f>
        <v>47529</v>
      </c>
      <c r="D120" s="11">
        <f ca="1">IFERROR(IF(DarlehenNichtBezahlt*DarlehenIstGut,DarlehensWert,""), "")</f>
        <v>1322.9991182374251</v>
      </c>
      <c r="E120" s="11">
        <f ca="1">IFERROR(IF(DarlehenNichtBezahlt*DarlehenIstGut,MonatlicheZahlung,""), "")</f>
        <v>135.65784745060091</v>
      </c>
      <c r="F120" s="11">
        <f ca="1">IFERROR(IF(DarlehenNichtBezahlt*DarlehenIstGut,Kapital,""), "")</f>
        <v>129.59410149201258</v>
      </c>
      <c r="G120" s="11">
        <f ca="1">IFERROR(IF(DarlehenNichtBezahlt*DarlehenIstGut,ZinsBetrag,""), "")</f>
        <v>6.0637459585883224</v>
      </c>
      <c r="H120" s="11">
        <f ca="1">IFERROR(IF(DarlehenNichtBezahlt*DarlehenIstGut,AbschlussSaldo,""), "")</f>
        <v>1193.4050167454188</v>
      </c>
    </row>
    <row r="121" spans="2:8" ht="20.149999999999999" customHeight="1">
      <c r="B121" s="9">
        <f ca="1">IFERROR(IF(DarlehenNichtBezahlt*DarlehenIstGut,ZahlungNummer,""), "")</f>
        <v>112</v>
      </c>
      <c r="C121" s="10">
        <f ca="1">IFERROR(IF(DarlehenNichtBezahlt*DarlehenIstGut,ZahlungsDatum,""), "")</f>
        <v>47557</v>
      </c>
      <c r="D121" s="11">
        <f ca="1">IFERROR(IF(DarlehenNichtBezahlt*DarlehenIstGut,DarlehensWert,""), "")</f>
        <v>1193.4050167454188</v>
      </c>
      <c r="E121" s="11">
        <f ca="1">IFERROR(IF(DarlehenNichtBezahlt*DarlehenIstGut,MonatlicheZahlung,""), "")</f>
        <v>135.65784745060091</v>
      </c>
      <c r="F121" s="11">
        <f ca="1">IFERROR(IF(DarlehenNichtBezahlt*DarlehenIstGut,Kapital,""), "")</f>
        <v>130.18807445718431</v>
      </c>
      <c r="G121" s="11">
        <f ca="1">IFERROR(IF(DarlehenNichtBezahlt*DarlehenIstGut,ZinsBetrag,""), "")</f>
        <v>5.4697729934165977</v>
      </c>
      <c r="H121" s="11">
        <f ca="1">IFERROR(IF(DarlehenNichtBezahlt*DarlehenIstGut,AbschlussSaldo,""), "")</f>
        <v>1063.2169422882289</v>
      </c>
    </row>
    <row r="122" spans="2:8" ht="20.149999999999999" customHeight="1">
      <c r="B122" s="9">
        <f ca="1">IFERROR(IF(DarlehenNichtBezahlt*DarlehenIstGut,ZahlungNummer,""), "")</f>
        <v>113</v>
      </c>
      <c r="C122" s="10">
        <f ca="1">IFERROR(IF(DarlehenNichtBezahlt*DarlehenIstGut,ZahlungsDatum,""), "")</f>
        <v>47588</v>
      </c>
      <c r="D122" s="11">
        <f ca="1">IFERROR(IF(DarlehenNichtBezahlt*DarlehenIstGut,DarlehensWert,""), "")</f>
        <v>1063.2169422882289</v>
      </c>
      <c r="E122" s="11">
        <f ca="1">IFERROR(IF(DarlehenNichtBezahlt*DarlehenIstGut,MonatlicheZahlung,""), "")</f>
        <v>135.65784745060091</v>
      </c>
      <c r="F122" s="11">
        <f ca="1">IFERROR(IF(DarlehenNichtBezahlt*DarlehenIstGut,Kapital,""), "")</f>
        <v>130.7847697984464</v>
      </c>
      <c r="G122" s="11">
        <f ca="1">IFERROR(IF(DarlehenNichtBezahlt*DarlehenIstGut,ZinsBetrag,""), "")</f>
        <v>4.8730776521545032</v>
      </c>
      <c r="H122" s="11">
        <f ca="1">IFERROR(IF(DarlehenNichtBezahlt*DarlehenIstGut,AbschlussSaldo,""), "")</f>
        <v>932.43217248977817</v>
      </c>
    </row>
    <row r="123" spans="2:8" ht="20.149999999999999" customHeight="1">
      <c r="B123" s="9">
        <f ca="1">IFERROR(IF(DarlehenNichtBezahlt*DarlehenIstGut,ZahlungNummer,""), "")</f>
        <v>114</v>
      </c>
      <c r="C123" s="10">
        <f ca="1">IFERROR(IF(DarlehenNichtBezahlt*DarlehenIstGut,ZahlungsDatum,""), "")</f>
        <v>47618</v>
      </c>
      <c r="D123" s="11">
        <f ca="1">IFERROR(IF(DarlehenNichtBezahlt*DarlehenIstGut,DarlehensWert,""), "")</f>
        <v>932.43217248977817</v>
      </c>
      <c r="E123" s="11">
        <f ca="1">IFERROR(IF(DarlehenNichtBezahlt*DarlehenIstGut,MonatlicheZahlung,""), "")</f>
        <v>135.65784745060091</v>
      </c>
      <c r="F123" s="11">
        <f ca="1">IFERROR(IF(DarlehenNichtBezahlt*DarlehenIstGut,Kapital,""), "")</f>
        <v>131.38419999335594</v>
      </c>
      <c r="G123" s="11">
        <f ca="1">IFERROR(IF(DarlehenNichtBezahlt*DarlehenIstGut,ZinsBetrag,""), "")</f>
        <v>4.273647457244957</v>
      </c>
      <c r="H123" s="11">
        <f ca="1">IFERROR(IF(DarlehenNichtBezahlt*DarlehenIstGut,AbschlussSaldo,""), "")</f>
        <v>801.04797249642434</v>
      </c>
    </row>
    <row r="124" spans="2:8" ht="20.149999999999999" customHeight="1">
      <c r="B124" s="9">
        <f ca="1">IFERROR(IF(DarlehenNichtBezahlt*DarlehenIstGut,ZahlungNummer,""), "")</f>
        <v>115</v>
      </c>
      <c r="C124" s="10">
        <f ca="1">IFERROR(IF(DarlehenNichtBezahlt*DarlehenIstGut,ZahlungsDatum,""), "")</f>
        <v>47649</v>
      </c>
      <c r="D124" s="11">
        <f ca="1">IFERROR(IF(DarlehenNichtBezahlt*DarlehenIstGut,DarlehensWert,""), "")</f>
        <v>801.04797249642434</v>
      </c>
      <c r="E124" s="11">
        <f ca="1">IFERROR(IF(DarlehenNichtBezahlt*DarlehenIstGut,MonatlicheZahlung,""), "")</f>
        <v>135.65784745060091</v>
      </c>
      <c r="F124" s="11">
        <f ca="1">IFERROR(IF(DarlehenNichtBezahlt*DarlehenIstGut,Kapital,""), "")</f>
        <v>131.98637757665884</v>
      </c>
      <c r="G124" s="11">
        <f ca="1">IFERROR(IF(DarlehenNichtBezahlt*DarlehenIstGut,ZinsBetrag,""), "")</f>
        <v>3.6714698739420757</v>
      </c>
      <c r="H124" s="11">
        <f ca="1">IFERROR(IF(DarlehenNichtBezahlt*DarlehenIstGut,AbschlussSaldo,""), "")</f>
        <v>669.06159491976359</v>
      </c>
    </row>
    <row r="125" spans="2:8" ht="20.149999999999999" customHeight="1">
      <c r="B125" s="9">
        <f ca="1">IFERROR(IF(DarlehenNichtBezahlt*DarlehenIstGut,ZahlungNummer,""), "")</f>
        <v>116</v>
      </c>
      <c r="C125" s="10">
        <f ca="1">IFERROR(IF(DarlehenNichtBezahlt*DarlehenIstGut,ZahlungsDatum,""), "")</f>
        <v>47679</v>
      </c>
      <c r="D125" s="11">
        <f ca="1">IFERROR(IF(DarlehenNichtBezahlt*DarlehenIstGut,DarlehensWert,""), "")</f>
        <v>669.06159491976359</v>
      </c>
      <c r="E125" s="11">
        <f ca="1">IFERROR(IF(DarlehenNichtBezahlt*DarlehenIstGut,MonatlicheZahlung,""), "")</f>
        <v>135.65784745060091</v>
      </c>
      <c r="F125" s="11">
        <f ca="1">IFERROR(IF(DarlehenNichtBezahlt*DarlehenIstGut,Kapital,""), "")</f>
        <v>132.59131514055184</v>
      </c>
      <c r="G125" s="11">
        <f ca="1">IFERROR(IF(DarlehenNichtBezahlt*DarlehenIstGut,ZinsBetrag,""), "")</f>
        <v>3.0665323100490558</v>
      </c>
      <c r="H125" s="11">
        <f ca="1">IFERROR(IF(DarlehenNichtBezahlt*DarlehenIstGut,AbschlussSaldo,""), "")</f>
        <v>536.47027977921243</v>
      </c>
    </row>
    <row r="126" spans="2:8" ht="20.149999999999999" customHeight="1">
      <c r="B126" s="9">
        <f ca="1">IFERROR(IF(DarlehenNichtBezahlt*DarlehenIstGut,ZahlungNummer,""), "")</f>
        <v>117</v>
      </c>
      <c r="C126" s="10">
        <f ca="1">IFERROR(IF(DarlehenNichtBezahlt*DarlehenIstGut,ZahlungsDatum,""), "")</f>
        <v>47710</v>
      </c>
      <c r="D126" s="11">
        <f ca="1">IFERROR(IF(DarlehenNichtBezahlt*DarlehenIstGut,DarlehensWert,""), "")</f>
        <v>536.47027977921243</v>
      </c>
      <c r="E126" s="11">
        <f ca="1">IFERROR(IF(DarlehenNichtBezahlt*DarlehenIstGut,MonatlicheZahlung,""), "")</f>
        <v>135.65784745060091</v>
      </c>
      <c r="F126" s="11">
        <f ca="1">IFERROR(IF(DarlehenNichtBezahlt*DarlehenIstGut,Kapital,""), "")</f>
        <v>133.19902533494604</v>
      </c>
      <c r="G126" s="11">
        <f ca="1">IFERROR(IF(DarlehenNichtBezahlt*DarlehenIstGut,ZinsBetrag,""), "")</f>
        <v>2.4588221156548595</v>
      </c>
      <c r="H126" s="11">
        <f ca="1">IFERROR(IF(DarlehenNichtBezahlt*DarlehenIstGut,AbschlussSaldo,""), "")</f>
        <v>403.27125444426201</v>
      </c>
    </row>
    <row r="127" spans="2:8" ht="20.149999999999999" customHeight="1">
      <c r="B127" s="9">
        <f ca="1">IFERROR(IF(DarlehenNichtBezahlt*DarlehenIstGut,ZahlungNummer,""), "")</f>
        <v>118</v>
      </c>
      <c r="C127" s="10">
        <f ca="1">IFERROR(IF(DarlehenNichtBezahlt*DarlehenIstGut,ZahlungsDatum,""), "")</f>
        <v>47741</v>
      </c>
      <c r="D127" s="11">
        <f ca="1">IFERROR(IF(DarlehenNichtBezahlt*DarlehenIstGut,DarlehensWert,""), "")</f>
        <v>403.27125444426201</v>
      </c>
      <c r="E127" s="11">
        <f ca="1">IFERROR(IF(DarlehenNichtBezahlt*DarlehenIstGut,MonatlicheZahlung,""), "")</f>
        <v>135.65784745060091</v>
      </c>
      <c r="F127" s="11">
        <f ca="1">IFERROR(IF(DarlehenNichtBezahlt*DarlehenIstGut,Kapital,""), "")</f>
        <v>133.80952086773124</v>
      </c>
      <c r="G127" s="11">
        <f ca="1">IFERROR(IF(DarlehenNichtBezahlt*DarlehenIstGut,ZinsBetrag,""), "")</f>
        <v>1.84832658286969</v>
      </c>
      <c r="H127" s="11">
        <f ca="1">IFERROR(IF(DarlehenNichtBezahlt*DarlehenIstGut,AbschlussSaldo,""), "")</f>
        <v>269.46173357652879</v>
      </c>
    </row>
    <row r="128" spans="2:8" ht="20.149999999999999" customHeight="1">
      <c r="B128" s="9">
        <f ca="1">IFERROR(IF(DarlehenNichtBezahlt*DarlehenIstGut,ZahlungNummer,""), "")</f>
        <v>119</v>
      </c>
      <c r="C128" s="10">
        <f ca="1">IFERROR(IF(DarlehenNichtBezahlt*DarlehenIstGut,ZahlungsDatum,""), "")</f>
        <v>47771</v>
      </c>
      <c r="D128" s="11">
        <f ca="1">IFERROR(IF(DarlehenNichtBezahlt*DarlehenIstGut,DarlehensWert,""), "")</f>
        <v>269.46173357652879</v>
      </c>
      <c r="E128" s="11">
        <f ca="1">IFERROR(IF(DarlehenNichtBezahlt*DarlehenIstGut,MonatlicheZahlung,""), "")</f>
        <v>135.65784745060091</v>
      </c>
      <c r="F128" s="11">
        <f ca="1">IFERROR(IF(DarlehenNichtBezahlt*DarlehenIstGut,Kapital,""), "")</f>
        <v>134.42281450504166</v>
      </c>
      <c r="G128" s="11">
        <f ca="1">IFERROR(IF(DarlehenNichtBezahlt*DarlehenIstGut,ZinsBetrag,""), "")</f>
        <v>1.2350329455592552</v>
      </c>
      <c r="H128" s="11">
        <f ca="1">IFERROR(IF(DarlehenNichtBezahlt*DarlehenIstGut,AbschlussSaldo,""), "")</f>
        <v>135.03891907149591</v>
      </c>
    </row>
    <row r="129" spans="2:8" ht="20.149999999999999" customHeight="1">
      <c r="B129" s="9">
        <f ca="1">IFERROR(IF(DarlehenNichtBezahlt*DarlehenIstGut,ZahlungNummer,""), "")</f>
        <v>120</v>
      </c>
      <c r="C129" s="10">
        <f ca="1">IFERROR(IF(DarlehenNichtBezahlt*DarlehenIstGut,ZahlungsDatum,""), "")</f>
        <v>47802</v>
      </c>
      <c r="D129" s="11">
        <f ca="1">IFERROR(IF(DarlehenNichtBezahlt*DarlehenIstGut,DarlehensWert,""), "")</f>
        <v>135.03891907149591</v>
      </c>
      <c r="E129" s="11">
        <f ca="1">IFERROR(IF(DarlehenNichtBezahlt*DarlehenIstGut,MonatlicheZahlung,""), "")</f>
        <v>135.65784745060091</v>
      </c>
      <c r="F129" s="11">
        <f ca="1">IFERROR(IF(DarlehenNichtBezahlt*DarlehenIstGut,Kapital,""), "")</f>
        <v>135.03891907152311</v>
      </c>
      <c r="G129" s="11">
        <f ca="1">IFERROR(IF(DarlehenNichtBezahlt*DarlehenIstGut,ZinsBetrag,""), "")</f>
        <v>0.61892837907781428</v>
      </c>
      <c r="H129" s="11">
        <f ca="1">IFERROR(IF(DarlehenNichtBezahlt*DarlehenIstGut,AbschlussSaldo,""), "")</f>
        <v>-3.2741809263825417E-11</v>
      </c>
    </row>
    <row r="130" spans="2:8" ht="20.149999999999999"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49999999999999"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49999999999999"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49999999999999"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49999999999999"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49999999999999"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49999999999999"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49999999999999"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49999999999999"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49999999999999"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49999999999999"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49999999999999"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49999999999999"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49999999999999"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49999999999999"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49999999999999"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49999999999999"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49999999999999"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49999999999999"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49999999999999"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49999999999999"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49999999999999"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49999999999999"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49999999999999"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49999999999999"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49999999999999"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49999999999999"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49999999999999"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49999999999999"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49999999999999"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49999999999999"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49999999999999"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49999999999999"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49999999999999"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49999999999999"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49999999999999"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49999999999999"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49999999999999"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49999999999999"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49999999999999"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49999999999999"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49999999999999"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49999999999999"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49999999999999"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49999999999999"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49999999999999"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49999999999999"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49999999999999"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49999999999999"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49999999999999"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49999999999999"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49999999999999"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49999999999999"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49999999999999"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49999999999999"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49999999999999"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49999999999999"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49999999999999"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49999999999999"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49999999999999"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49999999999999"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49999999999999"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49999999999999"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49999999999999"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49999999999999"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49999999999999"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49999999999999"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49999999999999"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49999999999999"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49999999999999"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49999999999999"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49999999999999"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49999999999999"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49999999999999"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49999999999999"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49999999999999"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49999999999999"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49999999999999"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49999999999999"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49999999999999"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49999999999999"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49999999999999"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49999999999999"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49999999999999"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49999999999999"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49999999999999"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49999999999999"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49999999999999"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49999999999999"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49999999999999"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49999999999999"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49999999999999"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49999999999999"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49999999999999"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49999999999999"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49999999999999"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49999999999999"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49999999999999"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49999999999999"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49999999999999"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49999999999999"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49999999999999"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49999999999999"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49999999999999"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49999999999999"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49999999999999"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49999999999999"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49999999999999"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49999999999999"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49999999999999"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49999999999999"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49999999999999"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49999999999999"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49999999999999"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49999999999999"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49999999999999"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49999999999999"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49999999999999"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49999999999999"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49999999999999"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49999999999999"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49999999999999"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49999999999999"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49999999999999"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49999999999999"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49999999999999"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49999999999999"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49999999999999"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49999999999999"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49999999999999"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49999999999999"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49999999999999"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49999999999999"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49999999999999"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49999999999999"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49999999999999"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49999999999999"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49999999999999"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49999999999999"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49999999999999"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49999999999999"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49999999999999"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49999999999999"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49999999999999"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49999999999999"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49999999999999"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49999999999999"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49999999999999"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49999999999999"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49999999999999"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49999999999999"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49999999999999"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49999999999999"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49999999999999"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49999999999999"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49999999999999"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49999999999999"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49999999999999"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49999999999999"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49999999999999"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49999999999999"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49999999999999"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49999999999999"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49999999999999"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49999999999999"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49999999999999"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49999999999999"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49999999999999"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49999999999999"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49999999999999"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49999999999999"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49999999999999"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49999999999999"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49999999999999"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49999999999999"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49999999999999"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49999999999999"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49999999999999"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49999999999999"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49999999999999"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49999999999999"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49999999999999"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49999999999999"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49999999999999"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49999999999999"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49999999999999"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49999999999999"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49999999999999"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49999999999999"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49999999999999"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49999999999999"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49999999999999"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49999999999999"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49999999999999"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49999999999999"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49999999999999"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49999999999999"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49999999999999"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49999999999999"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49999999999999"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49999999999999"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49999999999999"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49999999999999"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49999999999999"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49999999999999"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49999999999999"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49999999999999"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49999999999999"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49999999999999"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49999999999999"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49999999999999"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49999999999999"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49999999999999"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49999999999999"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49999999999999"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49999999999999"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49999999999999"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49999999999999"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49999999999999"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49999999999999"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49999999999999"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49999999999999"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49999999999999"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49999999999999"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49999999999999"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49999999999999"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49999999999999"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49999999999999"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49999999999999"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49999999999999"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49999999999999"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49999999999999"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49999999999999"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49999999999999"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49999999999999"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49999999999999"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49999999999999"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49999999999999"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49999999999999"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49999999999999"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6:C6"/>
    <mergeCell ref="B7:C7"/>
    <mergeCell ref="F4:G4"/>
    <mergeCell ref="F5:G5"/>
    <mergeCell ref="F6:G6"/>
    <mergeCell ref="F7:G7"/>
    <mergeCell ref="B3:D3"/>
    <mergeCell ref="F3:H3"/>
    <mergeCell ref="B1:H1"/>
    <mergeCell ref="B4:C4"/>
    <mergeCell ref="B5:C5"/>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1206500</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2020-11-15T14:14:17Z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